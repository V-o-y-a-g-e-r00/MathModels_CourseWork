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360" windowWidth="18915" windowHeight="6960"/>
  </bookViews>
  <sheets>
    <sheet name="param" sheetId="1" r:id="rId1"/>
  </sheets>
  <calcPr calcId="145621"/>
</workbook>
</file>

<file path=xl/calcChain.xml><?xml version="1.0" encoding="utf-8"?>
<calcChain xmlns="http://schemas.openxmlformats.org/spreadsheetml/2006/main">
  <c r="AB326" i="1" l="1"/>
  <c r="AZ299" i="1"/>
  <c r="AZ226" i="1" l="1"/>
  <c r="AZ201" i="1"/>
  <c r="AZ177" i="1"/>
  <c r="AZ152" i="1"/>
  <c r="AB226" i="1" l="1"/>
  <c r="AC225" i="1"/>
  <c r="AB202" i="1" l="1"/>
  <c r="AB178" i="1"/>
  <c r="AB154" i="1"/>
  <c r="AB130" i="1" l="1"/>
  <c r="AG10" i="1" l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9" i="1"/>
  <c r="AG29" i="1" l="1"/>
  <c r="AH12" i="1"/>
  <c r="AN21" i="1" s="1"/>
  <c r="AH9" i="1"/>
  <c r="AK22" i="1" s="1"/>
  <c r="AH23" i="1"/>
  <c r="AY19" i="1" s="1"/>
  <c r="AH18" i="1"/>
  <c r="AH13" i="1"/>
  <c r="AO20" i="1" s="1"/>
  <c r="AN24" i="1"/>
  <c r="AN27" i="1"/>
  <c r="AN11" i="1"/>
  <c r="AN14" i="1"/>
  <c r="AK26" i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AN26" i="1" l="1"/>
  <c r="AN23" i="1"/>
  <c r="AN20" i="1"/>
  <c r="AN18" i="1"/>
  <c r="AN15" i="1"/>
  <c r="AN12" i="1"/>
  <c r="AN28" i="1"/>
  <c r="AN22" i="1"/>
  <c r="AN19" i="1"/>
  <c r="AN16" i="1"/>
  <c r="AY25" i="1"/>
  <c r="AO27" i="1"/>
  <c r="AK28" i="1"/>
  <c r="AK19" i="1"/>
  <c r="AK23" i="1"/>
  <c r="AK13" i="1"/>
  <c r="AK12" i="1"/>
  <c r="AK16" i="1"/>
  <c r="AK21" i="1"/>
  <c r="AK15" i="1"/>
  <c r="AK24" i="1"/>
  <c r="AK17" i="1"/>
  <c r="AK27" i="1"/>
  <c r="AK10" i="1"/>
  <c r="AY12" i="1"/>
  <c r="AY28" i="1"/>
  <c r="AH15" i="1"/>
  <c r="AH19" i="1"/>
  <c r="AH28" i="1"/>
  <c r="AH22" i="1"/>
  <c r="AH27" i="1"/>
  <c r="AH10" i="1"/>
  <c r="AH14" i="1"/>
  <c r="AH11" i="1"/>
  <c r="AH21" i="1"/>
  <c r="AH25" i="1"/>
  <c r="AH24" i="1"/>
  <c r="AK20" i="1"/>
  <c r="AK25" i="1"/>
  <c r="AH17" i="1"/>
  <c r="AO26" i="1"/>
  <c r="AO21" i="1"/>
  <c r="AO13" i="1"/>
  <c r="AO19" i="1"/>
  <c r="AO15" i="1"/>
  <c r="AO11" i="1"/>
  <c r="AO17" i="1"/>
  <c r="AO23" i="1"/>
  <c r="AO28" i="1"/>
  <c r="AO25" i="1"/>
  <c r="AO10" i="1"/>
  <c r="AO14" i="1"/>
  <c r="AO18" i="1"/>
  <c r="AT9" i="1"/>
  <c r="AT17" i="1"/>
  <c r="AT23" i="1"/>
  <c r="AT26" i="1"/>
  <c r="AT27" i="1"/>
  <c r="AT21" i="1"/>
  <c r="AT19" i="1"/>
  <c r="AT15" i="1"/>
  <c r="AT11" i="1"/>
  <c r="AT25" i="1"/>
  <c r="AT13" i="1"/>
  <c r="AT22" i="1"/>
  <c r="AT28" i="1"/>
  <c r="AK18" i="1"/>
  <c r="AN10" i="1"/>
  <c r="AN17" i="1"/>
  <c r="AN9" i="1"/>
  <c r="AN13" i="1"/>
  <c r="AN25" i="1"/>
  <c r="AH16" i="1"/>
  <c r="AO24" i="1"/>
  <c r="AH26" i="1"/>
  <c r="AT10" i="1"/>
  <c r="AT14" i="1"/>
  <c r="AT18" i="1"/>
  <c r="AY13" i="1"/>
  <c r="AY11" i="1"/>
  <c r="AY15" i="1"/>
  <c r="AO22" i="1"/>
  <c r="AY27" i="1"/>
  <c r="AY21" i="1"/>
  <c r="AY18" i="1"/>
  <c r="AY14" i="1"/>
  <c r="AY10" i="1"/>
  <c r="AY24" i="1"/>
  <c r="AY20" i="1"/>
  <c r="AY16" i="1"/>
  <c r="AY9" i="1"/>
  <c r="AY17" i="1"/>
  <c r="AY23" i="1"/>
  <c r="AY26" i="1"/>
  <c r="AK14" i="1"/>
  <c r="AO12" i="1"/>
  <c r="AT12" i="1"/>
  <c r="AO16" i="1"/>
  <c r="AT16" i="1"/>
  <c r="AH20" i="1"/>
  <c r="AT20" i="1"/>
  <c r="AT24" i="1"/>
  <c r="AO9" i="1"/>
  <c r="AY22" i="1"/>
  <c r="AK11" i="1"/>
  <c r="AK9" i="1"/>
  <c r="AD30" i="1"/>
  <c r="AC30" i="1"/>
  <c r="AR18" i="1" l="1"/>
  <c r="AR14" i="1"/>
  <c r="AR10" i="1"/>
  <c r="AR9" i="1"/>
  <c r="AR24" i="1"/>
  <c r="AR19" i="1"/>
  <c r="AR15" i="1"/>
  <c r="AR11" i="1"/>
  <c r="AR22" i="1"/>
  <c r="AR13" i="1"/>
  <c r="AR28" i="1"/>
  <c r="AR27" i="1"/>
  <c r="AR17" i="1"/>
  <c r="AR21" i="1"/>
  <c r="AR25" i="1"/>
  <c r="AR26" i="1"/>
  <c r="AR20" i="1"/>
  <c r="AR16" i="1"/>
  <c r="AR12" i="1"/>
  <c r="AR23" i="1"/>
  <c r="AP25" i="1"/>
  <c r="AP27" i="1"/>
  <c r="AP21" i="1"/>
  <c r="AP18" i="1"/>
  <c r="AP14" i="1"/>
  <c r="AP10" i="1"/>
  <c r="AP17" i="1"/>
  <c r="AP24" i="1"/>
  <c r="AP20" i="1"/>
  <c r="AP23" i="1"/>
  <c r="AP26" i="1"/>
  <c r="AP28" i="1"/>
  <c r="AP9" i="1"/>
  <c r="AP22" i="1"/>
  <c r="AP13" i="1"/>
  <c r="AP19" i="1"/>
  <c r="AP15" i="1"/>
  <c r="AP11" i="1"/>
  <c r="AP16" i="1"/>
  <c r="AP12" i="1"/>
  <c r="BB9" i="1"/>
  <c r="BB17" i="1"/>
  <c r="BB23" i="1"/>
  <c r="BB26" i="1"/>
  <c r="BB27" i="1"/>
  <c r="BB21" i="1"/>
  <c r="BB19" i="1"/>
  <c r="BB15" i="1"/>
  <c r="BB11" i="1"/>
  <c r="BB25" i="1"/>
  <c r="BB13" i="1"/>
  <c r="BB22" i="1"/>
  <c r="BB28" i="1"/>
  <c r="BB12" i="1"/>
  <c r="BB24" i="1"/>
  <c r="BB20" i="1"/>
  <c r="BB16" i="1"/>
  <c r="BB18" i="1"/>
  <c r="BB14" i="1"/>
  <c r="BB10" i="1"/>
  <c r="AW19" i="1"/>
  <c r="AW15" i="1"/>
  <c r="AW11" i="1"/>
  <c r="AW25" i="1"/>
  <c r="AW13" i="1"/>
  <c r="AW22" i="1"/>
  <c r="AW28" i="1"/>
  <c r="AW9" i="1"/>
  <c r="AW17" i="1"/>
  <c r="AW23" i="1"/>
  <c r="AW26" i="1"/>
  <c r="AW18" i="1"/>
  <c r="AW14" i="1"/>
  <c r="AW10" i="1"/>
  <c r="AW24" i="1"/>
  <c r="AW21" i="1"/>
  <c r="AW12" i="1"/>
  <c r="AW27" i="1"/>
  <c r="AW20" i="1"/>
  <c r="AW16" i="1"/>
  <c r="BC23" i="1"/>
  <c r="BC19" i="1"/>
  <c r="BC15" i="1"/>
  <c r="BC11" i="1"/>
  <c r="BC25" i="1"/>
  <c r="BC13" i="1"/>
  <c r="BC26" i="1"/>
  <c r="BC28" i="1"/>
  <c r="BC24" i="1"/>
  <c r="BC17" i="1"/>
  <c r="BC27" i="1"/>
  <c r="BC9" i="1"/>
  <c r="BC22" i="1"/>
  <c r="BC18" i="1"/>
  <c r="BC14" i="1"/>
  <c r="BC10" i="1"/>
  <c r="BC20" i="1"/>
  <c r="BC16" i="1"/>
  <c r="BC12" i="1"/>
  <c r="BC21" i="1"/>
  <c r="AQ22" i="1"/>
  <c r="AQ18" i="1"/>
  <c r="AQ14" i="1"/>
  <c r="AQ10" i="1"/>
  <c r="AQ23" i="1"/>
  <c r="AQ19" i="1"/>
  <c r="AQ15" i="1"/>
  <c r="AQ11" i="1"/>
  <c r="AQ9" i="1"/>
  <c r="AQ25" i="1"/>
  <c r="AQ13" i="1"/>
  <c r="AQ26" i="1"/>
  <c r="AQ28" i="1"/>
  <c r="AQ21" i="1"/>
  <c r="AQ24" i="1"/>
  <c r="AQ27" i="1"/>
  <c r="AQ12" i="1"/>
  <c r="AQ20" i="1"/>
  <c r="AQ17" i="1"/>
  <c r="AQ16" i="1"/>
  <c r="AM10" i="1"/>
  <c r="AM16" i="1"/>
  <c r="AM24" i="1"/>
  <c r="AM28" i="1"/>
  <c r="AM12" i="1"/>
  <c r="AM17" i="1"/>
  <c r="AM25" i="1"/>
  <c r="AM21" i="1"/>
  <c r="AM23" i="1"/>
  <c r="AM14" i="1"/>
  <c r="AM13" i="1"/>
  <c r="AM19" i="1"/>
  <c r="AM26" i="1"/>
  <c r="AM20" i="1"/>
  <c r="AM15" i="1"/>
  <c r="AM22" i="1"/>
  <c r="AM9" i="1"/>
  <c r="AM27" i="1"/>
  <c r="AM11" i="1"/>
  <c r="AM18" i="1"/>
  <c r="AX9" i="1"/>
  <c r="AX17" i="1"/>
  <c r="AX23" i="1"/>
  <c r="AX26" i="1"/>
  <c r="AX27" i="1"/>
  <c r="AX21" i="1"/>
  <c r="AX19" i="1"/>
  <c r="AX15" i="1"/>
  <c r="AX11" i="1"/>
  <c r="AX25" i="1"/>
  <c r="AX13" i="1"/>
  <c r="AX22" i="1"/>
  <c r="AX28" i="1"/>
  <c r="AX18" i="1"/>
  <c r="AX14" i="1"/>
  <c r="AX10" i="1"/>
  <c r="AX12" i="1"/>
  <c r="AX20" i="1"/>
  <c r="AX16" i="1"/>
  <c r="AX24" i="1"/>
  <c r="AZ18" i="1"/>
  <c r="AZ14" i="1"/>
  <c r="AZ10" i="1"/>
  <c r="AZ24" i="1"/>
  <c r="AZ19" i="1"/>
  <c r="AZ15" i="1"/>
  <c r="AZ11" i="1"/>
  <c r="AZ25" i="1"/>
  <c r="AZ13" i="1"/>
  <c r="AZ22" i="1"/>
  <c r="AZ28" i="1"/>
  <c r="AZ27" i="1"/>
  <c r="AZ21" i="1"/>
  <c r="AZ26" i="1"/>
  <c r="AZ20" i="1"/>
  <c r="AZ16" i="1"/>
  <c r="AZ23" i="1"/>
  <c r="AZ17" i="1"/>
  <c r="AZ12" i="1"/>
  <c r="AZ9" i="1"/>
  <c r="BD27" i="1"/>
  <c r="BD21" i="1"/>
  <c r="BD18" i="1"/>
  <c r="BD14" i="1"/>
  <c r="BD10" i="1"/>
  <c r="BD24" i="1"/>
  <c r="BD20" i="1"/>
  <c r="BD16" i="1"/>
  <c r="BD17" i="1"/>
  <c r="BD23" i="1"/>
  <c r="BD26" i="1"/>
  <c r="BD19" i="1"/>
  <c r="BD15" i="1"/>
  <c r="BD11" i="1"/>
  <c r="BD13" i="1"/>
  <c r="BD25" i="1"/>
  <c r="BD9" i="1"/>
  <c r="BD28" i="1"/>
  <c r="BD22" i="1"/>
  <c r="BD12" i="1"/>
  <c r="AV18" i="1"/>
  <c r="AV14" i="1"/>
  <c r="AV10" i="1"/>
  <c r="AV24" i="1"/>
  <c r="AV19" i="1"/>
  <c r="AV15" i="1"/>
  <c r="AV11" i="1"/>
  <c r="AV25" i="1"/>
  <c r="AV13" i="1"/>
  <c r="AV22" i="1"/>
  <c r="AV28" i="1"/>
  <c r="AV27" i="1"/>
  <c r="AV21" i="1"/>
  <c r="AV9" i="1"/>
  <c r="AV26" i="1"/>
  <c r="AV23" i="1"/>
  <c r="AV12" i="1"/>
  <c r="AV17" i="1"/>
  <c r="AV20" i="1"/>
  <c r="AV16" i="1"/>
  <c r="AS19" i="1"/>
  <c r="AS15" i="1"/>
  <c r="AS11" i="1"/>
  <c r="AS13" i="1"/>
  <c r="AS22" i="1"/>
  <c r="AS28" i="1"/>
  <c r="AS17" i="1"/>
  <c r="AS23" i="1"/>
  <c r="AS26" i="1"/>
  <c r="AS18" i="1"/>
  <c r="AS14" i="1"/>
  <c r="AS10" i="1"/>
  <c r="AS9" i="1"/>
  <c r="AS24" i="1"/>
  <c r="AS20" i="1"/>
  <c r="AS16" i="1"/>
  <c r="AS12" i="1"/>
  <c r="AS25" i="1"/>
  <c r="AS21" i="1"/>
  <c r="AS27" i="1"/>
  <c r="BA19" i="1"/>
  <c r="BA15" i="1"/>
  <c r="BA11" i="1"/>
  <c r="BA25" i="1"/>
  <c r="BA13" i="1"/>
  <c r="BA22" i="1"/>
  <c r="BA28" i="1"/>
  <c r="BA9" i="1"/>
  <c r="BA17" i="1"/>
  <c r="BA23" i="1"/>
  <c r="BA26" i="1"/>
  <c r="BA18" i="1"/>
  <c r="BA14" i="1"/>
  <c r="BA10" i="1"/>
  <c r="BA24" i="1"/>
  <c r="BA21" i="1"/>
  <c r="BA27" i="1"/>
  <c r="BA12" i="1"/>
  <c r="BA20" i="1"/>
  <c r="BA16" i="1"/>
  <c r="AL10" i="1"/>
  <c r="AL27" i="1"/>
  <c r="AL16" i="1"/>
  <c r="AL11" i="1"/>
  <c r="AL13" i="1"/>
  <c r="AL19" i="1"/>
  <c r="AL23" i="1"/>
  <c r="AL21" i="1"/>
  <c r="AL28" i="1"/>
  <c r="AL17" i="1"/>
  <c r="AL12" i="1"/>
  <c r="AL24" i="1"/>
  <c r="AL25" i="1"/>
  <c r="AL14" i="1"/>
  <c r="AL9" i="1"/>
  <c r="AL20" i="1"/>
  <c r="AL26" i="1"/>
  <c r="AL15" i="1"/>
  <c r="AL22" i="1"/>
  <c r="AL18" i="1"/>
  <c r="AU27" i="1"/>
  <c r="AU21" i="1"/>
  <c r="AU18" i="1"/>
  <c r="AU14" i="1"/>
  <c r="AU10" i="1"/>
  <c r="AU24" i="1"/>
  <c r="AU20" i="1"/>
  <c r="AU16" i="1"/>
  <c r="AU9" i="1"/>
  <c r="AU17" i="1"/>
  <c r="AU23" i="1"/>
  <c r="AU26" i="1"/>
  <c r="AU28" i="1"/>
  <c r="AU22" i="1"/>
  <c r="AU19" i="1"/>
  <c r="AU15" i="1"/>
  <c r="AU11" i="1"/>
  <c r="AU13" i="1"/>
  <c r="AU25" i="1"/>
  <c r="AU12" i="1"/>
  <c r="AB29" i="1"/>
  <c r="B29" i="1" l="1"/>
  <c r="D11" i="1" l="1"/>
  <c r="D25" i="1"/>
  <c r="D24" i="1"/>
  <c r="D23" i="1"/>
  <c r="D20" i="1"/>
  <c r="D12" i="1"/>
  <c r="D17" i="1"/>
  <c r="D19" i="1"/>
  <c r="D28" i="1"/>
  <c r="D16" i="1"/>
  <c r="D27" i="1"/>
  <c r="D15" i="1"/>
  <c r="D26" i="1"/>
  <c r="D18" i="1"/>
  <c r="D10" i="1"/>
  <c r="D22" i="1"/>
  <c r="D14" i="1"/>
  <c r="D9" i="1"/>
  <c r="D21" i="1"/>
  <c r="D13" i="1"/>
  <c r="D29" i="1" l="1"/>
</calcChain>
</file>

<file path=xl/sharedStrings.xml><?xml version="1.0" encoding="utf-8"?>
<sst xmlns="http://schemas.openxmlformats.org/spreadsheetml/2006/main" count="71" uniqueCount="65">
  <si>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</si>
  <si>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</si>
  <si>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</si>
  <si>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</si>
  <si>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</si>
  <si>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</si>
  <si>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</si>
  <si>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</si>
  <si>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</si>
  <si>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</si>
  <si>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</si>
  <si>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</si>
  <si>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</si>
  <si>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</si>
  <si>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</si>
  <si>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</si>
  <si>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</si>
  <si>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</si>
  <si>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</si>
  <si>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</si>
  <si>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</si>
  <si>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</si>
  <si>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</si>
  <si>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</si>
  <si>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</si>
  <si>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yi=Ni*y0</t>
  </si>
  <si>
    <t>Ki=yi/сумм(yi)</t>
  </si>
  <si>
    <t>Матрица интенсивности трафика в направлениях связи</t>
  </si>
  <si>
    <t>yij=kij*yi</t>
  </si>
  <si>
    <t>yi=1</t>
  </si>
  <si>
    <t>ki=1</t>
  </si>
  <si>
    <t>Копия с большими расстояниями</t>
  </si>
  <si>
    <t>Матрица кратчайших путей:</t>
  </si>
  <si>
    <t>Матрица маршрутов (от I до j):</t>
  </si>
  <si>
    <t>Матрица интенсивности нагрузок на линии связи</t>
  </si>
  <si>
    <t>CtrlSum=24728.5</t>
  </si>
  <si>
    <t>Матрица потоков</t>
  </si>
  <si>
    <t>CtrlSum=25699</t>
  </si>
  <si>
    <t>CtrlSum=2199834400.000000</t>
  </si>
  <si>
    <t>Матрица интенсивности трафика ПД для линий связи (бит/c)</t>
  </si>
  <si>
    <t>CtrlSum=2201178400.000000</t>
  </si>
  <si>
    <t>Матрица пропускной способности линий связи (бит/с)</t>
  </si>
  <si>
    <t>Матрица оптимизированных пропускных способностей (бит/с). (Пункт 9, B0)</t>
  </si>
  <si>
    <t>CtrlSum=2.381585</t>
  </si>
  <si>
    <t>CtrlSum=17.564020</t>
  </si>
  <si>
    <t>CtrlSum=9.077585</t>
  </si>
  <si>
    <t>В ячейке 20 10</t>
  </si>
  <si>
    <t>Минимальное достигнутое значение целевой функции Omin=0.107933</t>
  </si>
  <si>
    <t>Матрица задержек на линиях связи MDel (для минимального достигнутого значения целевой функции из MO, т.е. для MO[20][10] нумерация с 1)</t>
  </si>
  <si>
    <t>Матрица задержек на маршрутах MDl (для минимального достигнутого значения целевой функции из MO т.е. для MO[20][10] нумерация с 1)</t>
  </si>
  <si>
    <t>Матрица значений целевой функции MO, содержащая минимальное значение целевой функции</t>
  </si>
  <si>
    <t>Матрица</t>
  </si>
  <si>
    <t>оптимизированных</t>
  </si>
  <si>
    <t>пропускных</t>
  </si>
  <si>
    <t>способностей</t>
  </si>
  <si>
    <t>(бит/с)</t>
  </si>
  <si>
    <t>Матрицы для пункта 9 (без изменения Topt)</t>
  </si>
  <si>
    <t>Матрицы для пункта 9 (C изменением Topt)</t>
  </si>
  <si>
    <t>CtrlSum=2209238400.000000</t>
  </si>
  <si>
    <t>CtrlSum=1.683738</t>
  </si>
  <si>
    <t>CtrlSum=11.727215</t>
  </si>
  <si>
    <t>CtrlSum=17.816091</t>
  </si>
  <si>
    <t>ToptCurrent=0.033</t>
  </si>
  <si>
    <t>Omin=0.212071</t>
  </si>
  <si>
    <t>In cell:9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</si>
</sst>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5"/>
      <color theme="1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6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right"/>
    </xf>
    <xf numFmtId="0" fontId="8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4" fillId="0" borderId="0" xfId="0" applyFont="1"/>
    <xf numFmtId="164" fontId="0" fillId="0" borderId="0" xfId="0" applyNumberFormat="1"/>
    <xf numFmtId="2" fontId="0" fillId="0" borderId="0" xfId="0" applyNumberFormat="1"/>
    <xf numFmtId="0" fontId="12" fillId="7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0</xdr:rowOff>
        </xdr:from>
        <xdr:to>
          <xdr:col>6</xdr:col>
          <xdr:colOff>0</xdr:colOff>
          <xdr:row>39</xdr:row>
          <xdr:rowOff>47625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D400"/>
  <sheetViews>
    <sheetView tabSelected="1" topLeftCell="F370" zoomScale="115" zoomScaleNormal="115" workbookViewId="0">
      <selection activeCell="Q399" sqref="Q399"/>
    </sheetView>
  </sheetViews>
  <sheetFormatPr defaultRowHeight="15" x14ac:dyDescent="0.25"/>
  <cols>
    <col min="2" max="2" width="11.42578125" customWidth="1"/>
    <col min="3" max="3" width="6.7109375" customWidth="1"/>
    <col min="5" max="5" width="10.140625" customWidth="1"/>
    <col min="6" max="6" width="9.7109375" customWidth="1"/>
    <col min="7" max="8" width="5.140625" customWidth="1"/>
    <col min="9" max="9" width="5.5703125" customWidth="1"/>
    <col min="10" max="26" width="5.140625" customWidth="1"/>
    <col min="27" max="27" width="5.5703125" customWidth="1"/>
    <col min="28" max="28" width="11" bestFit="1" customWidth="1"/>
    <col min="29" max="29" width="7.28515625" hidden="1" customWidth="1"/>
    <col min="30" max="31" width="0" hidden="1" customWidth="1"/>
    <col min="32" max="32" width="12" bestFit="1" customWidth="1"/>
    <col min="52" max="52" width="11.28515625" bestFit="1" customWidth="1"/>
  </cols>
  <sheetData>
    <row r="1" spans="1:56" x14ac:dyDescent="0.25">
      <c r="A1" s="1" t="s">
        <v>12</v>
      </c>
    </row>
    <row r="2" spans="1:56" ht="15.75" thickBot="1" x14ac:dyDescent="0.3"/>
    <row r="3" spans="1:56" ht="15.75" thickBot="1" x14ac:dyDescent="0.3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</row>
    <row r="4" spans="1:56" ht="19.5" thickBot="1" x14ac:dyDescent="0.3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</row>
    <row r="5" spans="1:56" ht="15.75" thickBot="1" x14ac:dyDescent="0.3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</row>
    <row r="6" spans="1:56" ht="15.75" thickBot="1" x14ac:dyDescent="0.3">
      <c r="D6" s="47" t="s">
        <v>19</v>
      </c>
      <c r="E6" s="44">
        <v>98</v>
      </c>
      <c r="F6" t="s">
        <v>20</v>
      </c>
    </row>
    <row r="7" spans="1:56" ht="15.75" thickBot="1" x14ac:dyDescent="0.3">
      <c r="A7" s="1" t="s">
        <v>2</v>
      </c>
      <c r="G7" s="1" t="s">
        <v>11</v>
      </c>
      <c r="AJ7" s="1" t="s">
        <v>27</v>
      </c>
    </row>
    <row r="8" spans="1:56" ht="15.75" thickBot="1" x14ac:dyDescent="0.3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G8" t="s">
        <v>25</v>
      </c>
      <c r="AH8" t="s">
        <v>26</v>
      </c>
      <c r="AJ8" t="s">
        <v>28</v>
      </c>
      <c r="AK8" s="16" t="s">
        <v>30</v>
      </c>
      <c r="AL8" s="20">
        <v>2</v>
      </c>
      <c r="AM8" s="21">
        <v>3</v>
      </c>
      <c r="AN8" s="21">
        <v>4</v>
      </c>
      <c r="AO8" s="21">
        <v>5</v>
      </c>
      <c r="AP8" s="21">
        <v>6</v>
      </c>
      <c r="AQ8" s="21">
        <v>7</v>
      </c>
      <c r="AR8" s="21">
        <v>8</v>
      </c>
      <c r="AS8" s="21">
        <v>9</v>
      </c>
      <c r="AT8" s="21">
        <v>10</v>
      </c>
      <c r="AU8" s="21">
        <v>11</v>
      </c>
      <c r="AV8" s="21">
        <v>12</v>
      </c>
      <c r="AW8" s="21">
        <v>13</v>
      </c>
      <c r="AX8" s="21">
        <v>14</v>
      </c>
      <c r="AY8" s="21">
        <v>15</v>
      </c>
      <c r="AZ8" s="21">
        <v>16</v>
      </c>
      <c r="BA8" s="21">
        <v>17</v>
      </c>
      <c r="BB8" s="21">
        <v>18</v>
      </c>
      <c r="BC8" s="21">
        <v>19</v>
      </c>
      <c r="BD8" s="22">
        <v>20</v>
      </c>
    </row>
    <row r="9" spans="1:56" x14ac:dyDescent="0.25">
      <c r="A9" s="8">
        <v>1</v>
      </c>
      <c r="B9" s="10">
        <v>2441</v>
      </c>
      <c r="D9" s="28">
        <f>B9/$B$29</f>
        <v>2.581293290329403E-2</v>
      </c>
      <c r="G9" s="23">
        <v>1</v>
      </c>
      <c r="H9" s="14">
        <v>0</v>
      </c>
      <c r="I9" s="3"/>
      <c r="J9" s="3">
        <v>95.66994309425354</v>
      </c>
      <c r="K9" s="3"/>
      <c r="L9" s="3"/>
      <c r="M9" s="3"/>
      <c r="N9" s="3"/>
      <c r="O9" s="3"/>
      <c r="P9" s="3">
        <v>35.793215036392212</v>
      </c>
      <c r="Q9" s="3">
        <v>63.286548852920532</v>
      </c>
      <c r="R9" s="3">
        <v>36.289221048355103</v>
      </c>
      <c r="S9" s="3">
        <v>14.225059747695923</v>
      </c>
      <c r="T9" s="3"/>
      <c r="U9" s="3">
        <v>80.404049158096313</v>
      </c>
      <c r="V9" s="3">
        <v>95.307356119155884</v>
      </c>
      <c r="W9" s="3"/>
      <c r="X9" s="3">
        <v>67.110735177993774</v>
      </c>
      <c r="Y9" s="3">
        <v>10.045963525772095</v>
      </c>
      <c r="Z9" s="3">
        <v>17.631155252456665</v>
      </c>
      <c r="AA9" s="3"/>
      <c r="AC9" s="39">
        <f>SUM(H9:AA9)</f>
        <v>515.76324701309204</v>
      </c>
      <c r="AD9" s="2">
        <f>COUNTIF(H9:AA9,"&gt;0")</f>
        <v>10</v>
      </c>
      <c r="AF9">
        <v>1</v>
      </c>
      <c r="AG9">
        <f>B9*$B$4</f>
        <v>244.10000000000002</v>
      </c>
      <c r="AH9">
        <f>AG9/$AG$29</f>
        <v>2.5812932903294034E-2</v>
      </c>
      <c r="AJ9" s="23" t="s">
        <v>29</v>
      </c>
      <c r="AK9" s="54">
        <f>AG9*$AH$9</f>
        <v>6.300936921694074</v>
      </c>
      <c r="AL9" s="54">
        <f>AG9*$AH$10</f>
        <v>19.385512610373816</v>
      </c>
      <c r="AM9" s="54">
        <f>AG9*$AH$11</f>
        <v>7.7825992703431508</v>
      </c>
      <c r="AN9" s="54">
        <f>AG9*$AH$12</f>
        <v>4.6437466293025969</v>
      </c>
      <c r="AO9" s="54">
        <f>AG9*$AH$13</f>
        <v>16.112432718236139</v>
      </c>
      <c r="AP9" s="54">
        <f>AG9*$AH$14</f>
        <v>8.9415999577010545</v>
      </c>
      <c r="AQ9" s="54">
        <f>AG9*$AH$15</f>
        <v>11.169256067255329</v>
      </c>
      <c r="AR9" s="54">
        <f>AG9*$AH$16</f>
        <v>14.429429492941365</v>
      </c>
      <c r="AS9" s="54">
        <f>AG9*$AH$17</f>
        <v>25.645148839422625</v>
      </c>
      <c r="AT9" s="54">
        <f>AG9*$AH$18</f>
        <v>8.8719050388621596</v>
      </c>
      <c r="AU9" s="54">
        <f>AG9*$AH$19</f>
        <v>24.548099191032627</v>
      </c>
      <c r="AV9" s="54">
        <f>AG9*$AH$20</f>
        <v>10.307104108285307</v>
      </c>
      <c r="AW9" s="54">
        <f>AG9*$AH$21</f>
        <v>5.4878295352403121</v>
      </c>
      <c r="AX9" s="54">
        <f>AG9*$AH$22</f>
        <v>10.110925818220274</v>
      </c>
      <c r="AY9" s="54">
        <f>AG9*$AH$23</f>
        <v>18.47689737217787</v>
      </c>
      <c r="AZ9" s="54">
        <f>AG9*$AH$24</f>
        <v>18.159398297467352</v>
      </c>
      <c r="BA9" s="54">
        <f>AG9*$AH$25</f>
        <v>18.822790673082011</v>
      </c>
      <c r="BB9" s="54">
        <f>AG9*$AH$26</f>
        <v>4.6205149896896316</v>
      </c>
      <c r="BC9" s="54">
        <f>AG9*$AH$27</f>
        <v>6.9127034315021421</v>
      </c>
      <c r="BD9" s="54">
        <f>AG9*$AH$28</f>
        <v>3.3711690371702008</v>
      </c>
    </row>
    <row r="10" spans="1:56" x14ac:dyDescent="0.25">
      <c r="A10" s="9">
        <v>2</v>
      </c>
      <c r="B10" s="11">
        <v>7510</v>
      </c>
      <c r="D10" s="29">
        <f t="shared" ref="D10:D28" si="0">B10/$B$29</f>
        <v>7.9416274520171304E-2</v>
      </c>
      <c r="G10" s="17">
        <v>2</v>
      </c>
      <c r="H10" s="15"/>
      <c r="I10" s="2">
        <v>0</v>
      </c>
      <c r="J10" s="2">
        <v>25.85870623588562</v>
      </c>
      <c r="K10" s="2"/>
      <c r="L10" s="2">
        <v>7.1110904216766357</v>
      </c>
      <c r="M10" s="2">
        <v>53.128975629806519</v>
      </c>
      <c r="N10" s="2">
        <v>50.723093748092651</v>
      </c>
      <c r="O10" s="2"/>
      <c r="P10" s="2"/>
      <c r="Q10" s="2"/>
      <c r="R10" s="2">
        <v>39.088457822799683</v>
      </c>
      <c r="S10" s="2"/>
      <c r="T10" s="2">
        <v>3.3730685710906982</v>
      </c>
      <c r="U10" s="2"/>
      <c r="V10" s="2"/>
      <c r="W10" s="2"/>
      <c r="X10" s="2"/>
      <c r="Y10" s="2">
        <v>2.4108588695526123</v>
      </c>
      <c r="Z10" s="2"/>
      <c r="AA10" s="2">
        <v>5.0224959850311279</v>
      </c>
      <c r="AC10" s="39">
        <f t="shared" ref="AC10:AC28" si="1">SUM(H10:AA10)</f>
        <v>186.71674728393555</v>
      </c>
      <c r="AD10" s="2">
        <f t="shared" ref="AD10:AD28" si="2">COUNTIF(H10:AA10,"&gt;0")</f>
        <v>8</v>
      </c>
      <c r="AF10">
        <v>2</v>
      </c>
      <c r="AG10">
        <f t="shared" ref="AG10:AG28" si="3">B10*$B$4</f>
        <v>751</v>
      </c>
      <c r="AH10">
        <f t="shared" ref="AH10:AH28" si="4">AG10/$AG$29</f>
        <v>7.9416274520171304E-2</v>
      </c>
      <c r="AJ10" s="17">
        <v>2</v>
      </c>
      <c r="AK10" s="54">
        <f t="shared" ref="AK10:AK28" si="5">AG10*$AH$9</f>
        <v>19.385512610373819</v>
      </c>
      <c r="AL10" s="54">
        <f t="shared" ref="AL10:AL28" si="6">AG10*$AH$10</f>
        <v>59.641622164648652</v>
      </c>
      <c r="AM10" s="54">
        <f t="shared" ref="AM10:AM28" si="7">AG10*$AH$11</f>
        <v>23.944006767831649</v>
      </c>
      <c r="AN10" s="54">
        <f t="shared" ref="AN10:AN28" si="8">AG10*$AH$12</f>
        <v>14.28698778617882</v>
      </c>
      <c r="AO10" s="54">
        <f t="shared" ref="AO10:AO28" si="9">AG10*$AH$13</f>
        <v>49.571638555490942</v>
      </c>
      <c r="AP10" s="54">
        <f t="shared" ref="AP10:AP28" si="10">AG10*$AH$14</f>
        <v>27.509797493787346</v>
      </c>
      <c r="AQ10" s="54">
        <f t="shared" ref="AQ10:AQ28" si="11">AG10*$AH$15</f>
        <v>34.36342198487813</v>
      </c>
      <c r="AR10" s="54">
        <f t="shared" ref="AR10:AR28" si="12">AG10*$AH$16</f>
        <v>44.393697456775762</v>
      </c>
      <c r="AS10" s="54">
        <f t="shared" ref="AS10:AS28" si="13">AG10*$AH$17</f>
        <v>78.9000687357902</v>
      </c>
      <c r="AT10" s="54">
        <f t="shared" ref="AT10:AT28" si="14">AG10*$AH$18</f>
        <v>27.295373552582884</v>
      </c>
      <c r="AU10" s="54">
        <f t="shared" ref="AU10:AU28" si="15">AG10*$AH$19</f>
        <v>75.524877068682926</v>
      </c>
      <c r="AV10" s="54">
        <f t="shared" ref="AV10:AV28" si="16">AG10*$AH$20</f>
        <v>31.710918415904402</v>
      </c>
      <c r="AW10" s="54">
        <f t="shared" ref="AW10:AW28" si="17">AG10*$AH$21</f>
        <v>16.883899962988423</v>
      </c>
      <c r="AX10" s="54">
        <f t="shared" ref="AX10:AX28" si="18">AG10*$AH$22</f>
        <v>31.107354729551105</v>
      </c>
      <c r="AY10" s="54">
        <f t="shared" ref="AY10:AY28" si="19">AG10*$AH$23</f>
        <v>56.84616930153863</v>
      </c>
      <c r="AZ10" s="54">
        <f t="shared" ref="AZ10:AZ28" si="20">AG10*$AH$24</f>
        <v>55.86934912494052</v>
      </c>
      <c r="BA10" s="54">
        <f t="shared" ref="BA10:BA28" si="21">AG10*$AH$25</f>
        <v>57.910347380108924</v>
      </c>
      <c r="BB10" s="54">
        <f t="shared" ref="BB10:BB28" si="22">AG10*$AH$26</f>
        <v>14.215513139110664</v>
      </c>
      <c r="BC10" s="54">
        <f t="shared" ref="BC10:BC28" si="23">AG10*$AH$27</f>
        <v>21.267678316501879</v>
      </c>
      <c r="BD10" s="54">
        <f t="shared" ref="BD10:BD28" si="24">AG10*$AH$28</f>
        <v>10.371765452334373</v>
      </c>
    </row>
    <row r="11" spans="1:56" x14ac:dyDescent="0.25">
      <c r="A11" s="9">
        <v>3</v>
      </c>
      <c r="B11" s="11">
        <v>3015</v>
      </c>
      <c r="D11" s="29">
        <f t="shared" si="0"/>
        <v>3.1882831914556126E-2</v>
      </c>
      <c r="G11" s="18">
        <v>3</v>
      </c>
      <c r="H11" s="15">
        <v>95.66994309425354</v>
      </c>
      <c r="I11" s="2">
        <v>25.85870623588562</v>
      </c>
      <c r="J11" s="2">
        <v>0</v>
      </c>
      <c r="K11" s="2"/>
      <c r="L11" s="2"/>
      <c r="M11" s="2">
        <v>57.272225618362427</v>
      </c>
      <c r="N11" s="2"/>
      <c r="O11" s="2"/>
      <c r="P11" s="2">
        <v>74.031859636306763</v>
      </c>
      <c r="Q11" s="2"/>
      <c r="R11" s="2"/>
      <c r="S11" s="2">
        <v>76.815968751907349</v>
      </c>
      <c r="T11" s="2"/>
      <c r="U11" s="2">
        <v>26.767235994338989</v>
      </c>
      <c r="V11" s="2"/>
      <c r="W11" s="2">
        <v>74.08788800239563</v>
      </c>
      <c r="X11" s="2"/>
      <c r="Y11" s="2">
        <v>81.668549776077271</v>
      </c>
      <c r="Z11" s="2">
        <v>62.670642137527466</v>
      </c>
      <c r="AA11" s="2">
        <v>37.399846315383911</v>
      </c>
      <c r="AC11" s="39">
        <f t="shared" si="1"/>
        <v>612.24286556243896</v>
      </c>
      <c r="AD11" s="2">
        <f t="shared" si="2"/>
        <v>10</v>
      </c>
      <c r="AF11">
        <v>3</v>
      </c>
      <c r="AG11">
        <f t="shared" si="3"/>
        <v>301.5</v>
      </c>
      <c r="AH11">
        <f t="shared" si="4"/>
        <v>3.1882831914556126E-2</v>
      </c>
      <c r="AJ11" s="18">
        <v>3</v>
      </c>
      <c r="AK11" s="54">
        <f t="shared" si="5"/>
        <v>7.7825992703431508</v>
      </c>
      <c r="AL11" s="54">
        <f t="shared" si="6"/>
        <v>23.944006767831649</v>
      </c>
      <c r="AM11" s="54">
        <f t="shared" si="7"/>
        <v>9.6126738222386727</v>
      </c>
      <c r="AN11" s="54">
        <f t="shared" si="8"/>
        <v>5.7357214614286471</v>
      </c>
      <c r="AO11" s="54">
        <f t="shared" si="9"/>
        <v>19.901263681065934</v>
      </c>
      <c r="AP11" s="54">
        <f t="shared" si="10"/>
        <v>11.044212975202244</v>
      </c>
      <c r="AQ11" s="54">
        <f t="shared" si="11"/>
        <v>13.795701369428436</v>
      </c>
      <c r="AR11" s="54">
        <f t="shared" si="12"/>
        <v>17.822503040236874</v>
      </c>
      <c r="AS11" s="54">
        <f t="shared" si="13"/>
        <v>31.675593507111511</v>
      </c>
      <c r="AT11" s="54">
        <f t="shared" si="14"/>
        <v>10.958129329032941</v>
      </c>
      <c r="AU11" s="54">
        <f t="shared" si="15"/>
        <v>30.320573150742877</v>
      </c>
      <c r="AV11" s="54">
        <f t="shared" si="16"/>
        <v>12.730814783482261</v>
      </c>
      <c r="AW11" s="54">
        <f t="shared" si="17"/>
        <v>6.7782900650346329</v>
      </c>
      <c r="AX11" s="54">
        <f t="shared" si="18"/>
        <v>12.488505260931635</v>
      </c>
      <c r="AY11" s="54">
        <f t="shared" si="19"/>
        <v>22.821731084439275</v>
      </c>
      <c r="AZ11" s="54">
        <f t="shared" si="20"/>
        <v>22.429572251890235</v>
      </c>
      <c r="BA11" s="54">
        <f t="shared" si="21"/>
        <v>23.248961032094329</v>
      </c>
      <c r="BB11" s="54">
        <f t="shared" si="22"/>
        <v>5.7070269127055466</v>
      </c>
      <c r="BC11" s="54">
        <f t="shared" si="23"/>
        <v>8.5382223867181306</v>
      </c>
      <c r="BD11" s="54">
        <f t="shared" si="24"/>
        <v>4.1638978480410298</v>
      </c>
    </row>
    <row r="12" spans="1:56" x14ac:dyDescent="0.25">
      <c r="A12" s="9">
        <v>4</v>
      </c>
      <c r="B12" s="11">
        <v>1799</v>
      </c>
      <c r="D12" s="29">
        <f t="shared" si="0"/>
        <v>1.9023951779199494E-2</v>
      </c>
      <c r="G12" s="18">
        <v>4</v>
      </c>
      <c r="H12" s="15"/>
      <c r="I12" s="2"/>
      <c r="J12" s="2"/>
      <c r="K12" s="2">
        <v>0</v>
      </c>
      <c r="L12" s="2">
        <v>58.836406469345093</v>
      </c>
      <c r="M12" s="2"/>
      <c r="N12" s="2"/>
      <c r="O12" s="2"/>
      <c r="P12" s="2"/>
      <c r="Q12" s="2">
        <v>83.668416738510132</v>
      </c>
      <c r="R12" s="2">
        <v>26.73754096031189</v>
      </c>
      <c r="S12" s="2">
        <v>37.960046529769897</v>
      </c>
      <c r="T12" s="2"/>
      <c r="U12" s="2"/>
      <c r="V12" s="2">
        <v>66.192382574081421</v>
      </c>
      <c r="W12" s="2">
        <v>80.985444784164429</v>
      </c>
      <c r="X12" s="2"/>
      <c r="Y12" s="2"/>
      <c r="Z12" s="2">
        <v>5.4763257503509521</v>
      </c>
      <c r="AA12" s="2"/>
      <c r="AC12" s="39">
        <f t="shared" si="1"/>
        <v>359.85656380653381</v>
      </c>
      <c r="AD12" s="2">
        <f t="shared" si="2"/>
        <v>7</v>
      </c>
      <c r="AF12">
        <v>4</v>
      </c>
      <c r="AG12">
        <f t="shared" si="3"/>
        <v>179.9</v>
      </c>
      <c r="AH12">
        <f t="shared" si="4"/>
        <v>1.9023951779199494E-2</v>
      </c>
      <c r="AJ12" s="18">
        <v>4</v>
      </c>
      <c r="AK12" s="54">
        <f t="shared" si="5"/>
        <v>4.6437466293025969</v>
      </c>
      <c r="AL12" s="54">
        <f t="shared" si="6"/>
        <v>14.286987786178818</v>
      </c>
      <c r="AM12" s="54">
        <f t="shared" si="7"/>
        <v>5.7357214614286471</v>
      </c>
      <c r="AN12" s="54">
        <f t="shared" si="8"/>
        <v>3.4224089250779892</v>
      </c>
      <c r="AO12" s="54">
        <f t="shared" si="9"/>
        <v>11.874750700576325</v>
      </c>
      <c r="AP12" s="54">
        <f t="shared" si="10"/>
        <v>6.5898968963147055</v>
      </c>
      <c r="AQ12" s="54">
        <f t="shared" si="11"/>
        <v>8.2316639348596201</v>
      </c>
      <c r="AR12" s="54">
        <f t="shared" si="12"/>
        <v>10.634389044572517</v>
      </c>
      <c r="AS12" s="54">
        <f t="shared" si="13"/>
        <v>18.900296092634697</v>
      </c>
      <c r="AT12" s="54">
        <f t="shared" si="14"/>
        <v>6.538532226510867</v>
      </c>
      <c r="AU12" s="54">
        <f t="shared" si="15"/>
        <v>18.091778142018718</v>
      </c>
      <c r="AV12" s="54">
        <f t="shared" si="16"/>
        <v>7.596263945434357</v>
      </c>
      <c r="AW12" s="54">
        <f t="shared" si="17"/>
        <v>4.0444921482578122</v>
      </c>
      <c r="AX12" s="54">
        <f t="shared" si="18"/>
        <v>7.4516819119124422</v>
      </c>
      <c r="AY12" s="54">
        <f t="shared" si="19"/>
        <v>13.617344683550998</v>
      </c>
      <c r="AZ12" s="54">
        <f t="shared" si="20"/>
        <v>13.383350076666844</v>
      </c>
      <c r="BA12" s="54">
        <f t="shared" si="21"/>
        <v>13.872265637392271</v>
      </c>
      <c r="BB12" s="54">
        <f t="shared" si="22"/>
        <v>3.4052873684767091</v>
      </c>
      <c r="BC12" s="54">
        <f t="shared" si="23"/>
        <v>5.0946142864696249</v>
      </c>
      <c r="BD12" s="54">
        <f t="shared" si="24"/>
        <v>2.4845281023634538</v>
      </c>
    </row>
    <row r="13" spans="1:56" x14ac:dyDescent="0.25">
      <c r="A13" s="9">
        <v>5</v>
      </c>
      <c r="B13" s="11">
        <v>6242</v>
      </c>
      <c r="D13" s="29">
        <f t="shared" si="0"/>
        <v>6.6007508063236922E-2</v>
      </c>
      <c r="G13" s="18">
        <v>5</v>
      </c>
      <c r="H13" s="15"/>
      <c r="I13" s="2">
        <v>7.1110904216766357</v>
      </c>
      <c r="J13" s="2"/>
      <c r="K13" s="2">
        <v>58.836406469345093</v>
      </c>
      <c r="L13" s="2">
        <v>0</v>
      </c>
      <c r="M13" s="2">
        <v>43.030935525894165</v>
      </c>
      <c r="N13" s="2"/>
      <c r="O13" s="2">
        <v>13.869959115982056</v>
      </c>
      <c r="P13" s="2">
        <v>53.490978479385376</v>
      </c>
      <c r="Q13" s="2">
        <v>64.207273721694946</v>
      </c>
      <c r="R13" s="2"/>
      <c r="S13" s="2"/>
      <c r="T13" s="2">
        <v>62.478595972061157</v>
      </c>
      <c r="U13" s="2">
        <v>4.9392759799957275</v>
      </c>
      <c r="V13" s="2">
        <v>24.989372491836548</v>
      </c>
      <c r="W13" s="2">
        <v>8.6152136325836182</v>
      </c>
      <c r="X13" s="2"/>
      <c r="Y13" s="2"/>
      <c r="Z13" s="2">
        <v>74.247986078262329</v>
      </c>
      <c r="AA13" s="2">
        <v>53.290086984634399</v>
      </c>
      <c r="AC13" s="39">
        <f t="shared" si="1"/>
        <v>469.10717487335205</v>
      </c>
      <c r="AD13" s="2">
        <f t="shared" si="2"/>
        <v>12</v>
      </c>
      <c r="AF13">
        <v>5</v>
      </c>
      <c r="AG13">
        <f t="shared" si="3"/>
        <v>624.20000000000005</v>
      </c>
      <c r="AH13">
        <f t="shared" si="4"/>
        <v>6.6007508063236936E-2</v>
      </c>
      <c r="AJ13" s="18">
        <v>5</v>
      </c>
      <c r="AK13" s="54">
        <f t="shared" si="5"/>
        <v>16.112432718236136</v>
      </c>
      <c r="AL13" s="54">
        <f t="shared" si="6"/>
        <v>49.571638555490928</v>
      </c>
      <c r="AM13" s="54">
        <f t="shared" si="7"/>
        <v>19.901263681065934</v>
      </c>
      <c r="AN13" s="54">
        <f t="shared" si="8"/>
        <v>11.874750700576325</v>
      </c>
      <c r="AO13" s="54">
        <f t="shared" si="9"/>
        <v>41.201886533072496</v>
      </c>
      <c r="AP13" s="54">
        <f t="shared" si="10"/>
        <v>22.865000793105278</v>
      </c>
      <c r="AQ13" s="54">
        <f t="shared" si="11"/>
        <v>28.561448738962621</v>
      </c>
      <c r="AR13" s="54">
        <f t="shared" si="12"/>
        <v>36.898197007349445</v>
      </c>
      <c r="AS13" s="54">
        <f t="shared" si="13"/>
        <v>65.578459260825895</v>
      </c>
      <c r="AT13" s="54">
        <f t="shared" si="14"/>
        <v>22.686780521334537</v>
      </c>
      <c r="AU13" s="54">
        <f t="shared" si="15"/>
        <v>62.773140168138326</v>
      </c>
      <c r="AV13" s="54">
        <f t="shared" si="16"/>
        <v>26.356797969650504</v>
      </c>
      <c r="AW13" s="54">
        <f t="shared" si="17"/>
        <v>14.033196214244173</v>
      </c>
      <c r="AX13" s="54">
        <f t="shared" si="18"/>
        <v>25.855140908369908</v>
      </c>
      <c r="AY13" s="54">
        <f t="shared" si="19"/>
        <v>47.248174271665</v>
      </c>
      <c r="AZ13" s="54">
        <f t="shared" si="20"/>
        <v>46.436281922487183</v>
      </c>
      <c r="BA13" s="54">
        <f t="shared" si="21"/>
        <v>48.132674879712376</v>
      </c>
      <c r="BB13" s="54">
        <f t="shared" si="22"/>
        <v>11.815343943319411</v>
      </c>
      <c r="BC13" s="54">
        <f t="shared" si="23"/>
        <v>17.676810659334851</v>
      </c>
      <c r="BD13" s="54">
        <f t="shared" si="24"/>
        <v>8.6205805530587423</v>
      </c>
    </row>
    <row r="14" spans="1:56" x14ac:dyDescent="0.25">
      <c r="A14" s="9">
        <v>6</v>
      </c>
      <c r="B14" s="11">
        <v>3464</v>
      </c>
      <c r="D14" s="29">
        <f t="shared" si="0"/>
        <v>3.6630888806640935E-2</v>
      </c>
      <c r="G14" s="18">
        <v>6</v>
      </c>
      <c r="H14" s="15"/>
      <c r="I14" s="2">
        <v>53.128975629806519</v>
      </c>
      <c r="J14" s="2">
        <v>57.272225618362427</v>
      </c>
      <c r="K14" s="2"/>
      <c r="L14" s="2">
        <v>43.030935525894165</v>
      </c>
      <c r="M14" s="2">
        <v>0</v>
      </c>
      <c r="N14" s="2"/>
      <c r="O14" s="2"/>
      <c r="P14" s="2">
        <v>73.494118452072144</v>
      </c>
      <c r="Q14" s="2">
        <v>80.585306882858276</v>
      </c>
      <c r="R14" s="2">
        <v>71.723431348800659</v>
      </c>
      <c r="S14" s="2">
        <v>64.535444974899292</v>
      </c>
      <c r="T14" s="2"/>
      <c r="U14" s="2">
        <v>96.001452207565308</v>
      </c>
      <c r="V14" s="2">
        <v>90.22185206413269</v>
      </c>
      <c r="W14" s="2"/>
      <c r="X14" s="2">
        <v>55.022209882736206</v>
      </c>
      <c r="Y14" s="2">
        <v>15.543574094772339</v>
      </c>
      <c r="Z14" s="2">
        <v>94.877499341964722</v>
      </c>
      <c r="AA14" s="2"/>
      <c r="AC14" s="39">
        <f t="shared" si="1"/>
        <v>795.43702602386475</v>
      </c>
      <c r="AD14" s="2">
        <f t="shared" si="2"/>
        <v>12</v>
      </c>
      <c r="AF14">
        <v>6</v>
      </c>
      <c r="AG14">
        <f t="shared" si="3"/>
        <v>346.40000000000003</v>
      </c>
      <c r="AH14">
        <f t="shared" si="4"/>
        <v>3.6630888806640942E-2</v>
      </c>
      <c r="AJ14" s="18">
        <v>6</v>
      </c>
      <c r="AK14" s="54">
        <f t="shared" si="5"/>
        <v>8.9415999577010545</v>
      </c>
      <c r="AL14" s="54">
        <f t="shared" si="6"/>
        <v>27.509797493787342</v>
      </c>
      <c r="AM14" s="54">
        <f t="shared" si="7"/>
        <v>11.044212975202242</v>
      </c>
      <c r="AN14" s="54">
        <f t="shared" si="8"/>
        <v>6.5898968963147055</v>
      </c>
      <c r="AO14" s="54">
        <f t="shared" si="9"/>
        <v>22.865000793105278</v>
      </c>
      <c r="AP14" s="54">
        <f t="shared" si="10"/>
        <v>12.688939882620424</v>
      </c>
      <c r="AQ14" s="54">
        <f t="shared" si="11"/>
        <v>15.850185586633534</v>
      </c>
      <c r="AR14" s="54">
        <f t="shared" si="12"/>
        <v>20.476666842912284</v>
      </c>
      <c r="AS14" s="54">
        <f t="shared" si="13"/>
        <v>36.392788029397771</v>
      </c>
      <c r="AT14" s="54">
        <f t="shared" si="14"/>
        <v>12.590036482842493</v>
      </c>
      <c r="AU14" s="54">
        <f t="shared" si="15"/>
        <v>34.835975255115535</v>
      </c>
      <c r="AV14" s="54">
        <f t="shared" si="16"/>
        <v>14.626713900491726</v>
      </c>
      <c r="AW14" s="54">
        <f t="shared" si="17"/>
        <v>7.787726960291864</v>
      </c>
      <c r="AX14" s="54">
        <f t="shared" si="18"/>
        <v>14.348319145561257</v>
      </c>
      <c r="AY14" s="54">
        <f t="shared" si="19"/>
        <v>26.220390207793585</v>
      </c>
      <c r="AZ14" s="54">
        <f t="shared" si="20"/>
        <v>25.7698302754719</v>
      </c>
      <c r="BA14" s="54">
        <f t="shared" si="21"/>
        <v>26.711244117802575</v>
      </c>
      <c r="BB14" s="54">
        <f t="shared" si="22"/>
        <v>6.5569290963887275</v>
      </c>
      <c r="BC14" s="54">
        <f t="shared" si="23"/>
        <v>9.8097520224184436</v>
      </c>
      <c r="BD14" s="54">
        <f t="shared" si="24"/>
        <v>4.7839940781473063</v>
      </c>
    </row>
    <row r="15" spans="1:56" x14ac:dyDescent="0.25">
      <c r="A15" s="9">
        <v>7</v>
      </c>
      <c r="B15" s="11">
        <v>4327</v>
      </c>
      <c r="D15" s="29">
        <f t="shared" si="0"/>
        <v>4.5756886797440915E-2</v>
      </c>
      <c r="G15" s="18">
        <v>7</v>
      </c>
      <c r="H15" s="15"/>
      <c r="I15" s="2">
        <v>50.723093748092651</v>
      </c>
      <c r="J15" s="2"/>
      <c r="K15" s="2"/>
      <c r="L15" s="2"/>
      <c r="M15" s="2"/>
      <c r="N15" s="2">
        <v>0</v>
      </c>
      <c r="O15" s="2"/>
      <c r="P15" s="2"/>
      <c r="Q15" s="2">
        <v>1.7424881458282471</v>
      </c>
      <c r="R15" s="2">
        <v>83.411389589309692</v>
      </c>
      <c r="S15" s="2">
        <v>45.770293474197388</v>
      </c>
      <c r="T15" s="2"/>
      <c r="U15" s="2">
        <v>79.940921068191528</v>
      </c>
      <c r="V15" s="2">
        <v>51.850301027297974</v>
      </c>
      <c r="W15" s="2"/>
      <c r="X15" s="2">
        <v>79.780083894729614</v>
      </c>
      <c r="Y15" s="2"/>
      <c r="Z15" s="2">
        <v>45.704251527786255</v>
      </c>
      <c r="AA15" s="2">
        <v>52.21598744392395</v>
      </c>
      <c r="AC15" s="39">
        <f t="shared" si="1"/>
        <v>491.1388099193573</v>
      </c>
      <c r="AD15" s="2">
        <f t="shared" si="2"/>
        <v>9</v>
      </c>
      <c r="AF15">
        <v>7</v>
      </c>
      <c r="AG15">
        <f t="shared" si="3"/>
        <v>432.70000000000005</v>
      </c>
      <c r="AH15">
        <f t="shared" si="4"/>
        <v>4.5756886797440915E-2</v>
      </c>
      <c r="AJ15" s="18">
        <v>7</v>
      </c>
      <c r="AK15" s="54">
        <f t="shared" si="5"/>
        <v>11.169256067255329</v>
      </c>
      <c r="AL15" s="54">
        <f t="shared" si="6"/>
        <v>34.36342198487813</v>
      </c>
      <c r="AM15" s="54">
        <f t="shared" si="7"/>
        <v>13.795701369428437</v>
      </c>
      <c r="AN15" s="54">
        <f t="shared" si="8"/>
        <v>8.2316639348596219</v>
      </c>
      <c r="AO15" s="54">
        <f t="shared" si="9"/>
        <v>28.561448738962625</v>
      </c>
      <c r="AP15" s="54">
        <f t="shared" si="10"/>
        <v>15.850185586633538</v>
      </c>
      <c r="AQ15" s="54">
        <f t="shared" si="11"/>
        <v>19.799004917252685</v>
      </c>
      <c r="AR15" s="54">
        <f t="shared" si="12"/>
        <v>25.578099719769472</v>
      </c>
      <c r="AS15" s="54">
        <f t="shared" si="13"/>
        <v>45.459467033257553</v>
      </c>
      <c r="AT15" s="54">
        <f t="shared" si="14"/>
        <v>15.726641992280445</v>
      </c>
      <c r="AU15" s="54">
        <f t="shared" si="15"/>
        <v>43.514799344366317</v>
      </c>
      <c r="AV15" s="54">
        <f t="shared" si="16"/>
        <v>18.270724898218159</v>
      </c>
      <c r="AW15" s="54">
        <f t="shared" si="17"/>
        <v>9.7279141331359398</v>
      </c>
      <c r="AX15" s="54">
        <f t="shared" si="18"/>
        <v>17.922972558557611</v>
      </c>
      <c r="AY15" s="54">
        <f t="shared" si="19"/>
        <v>32.752779569608215</v>
      </c>
      <c r="AZ15" s="54">
        <f t="shared" si="20"/>
        <v>32.189969861999685</v>
      </c>
      <c r="BA15" s="54">
        <f t="shared" si="21"/>
        <v>33.365921852693923</v>
      </c>
      <c r="BB15" s="54">
        <f t="shared" si="22"/>
        <v>8.1904827367419237</v>
      </c>
      <c r="BC15" s="54">
        <f t="shared" si="23"/>
        <v>12.253694284354678</v>
      </c>
      <c r="BD15" s="54">
        <f t="shared" si="24"/>
        <v>5.9758494157457838</v>
      </c>
    </row>
    <row r="16" spans="1:56" x14ac:dyDescent="0.25">
      <c r="A16" s="9">
        <v>8</v>
      </c>
      <c r="B16" s="11">
        <v>5590</v>
      </c>
      <c r="D16" s="29">
        <f t="shared" si="0"/>
        <v>5.9112779569608205E-2</v>
      </c>
      <c r="G16" s="18">
        <v>8</v>
      </c>
      <c r="H16" s="15"/>
      <c r="I16" s="2"/>
      <c r="J16" s="2"/>
      <c r="K16" s="2"/>
      <c r="L16" s="2">
        <v>13.869959115982056</v>
      </c>
      <c r="M16" s="2"/>
      <c r="N16" s="2"/>
      <c r="O16" s="2">
        <v>0</v>
      </c>
      <c r="P16" s="2">
        <v>7.1507394313812256</v>
      </c>
      <c r="Q16" s="2">
        <v>5.9510648250579834</v>
      </c>
      <c r="R16" s="2"/>
      <c r="S16" s="2">
        <v>98.490375280380249</v>
      </c>
      <c r="T16" s="2"/>
      <c r="U16" s="2">
        <v>64.815086126327515</v>
      </c>
      <c r="V16" s="2"/>
      <c r="W16" s="2"/>
      <c r="X16" s="2"/>
      <c r="Y16" s="2">
        <v>57.883208990097046</v>
      </c>
      <c r="Z16" s="2"/>
      <c r="AA16" s="2"/>
      <c r="AC16" s="39">
        <f t="shared" si="1"/>
        <v>248.16043376922607</v>
      </c>
      <c r="AD16" s="2">
        <f t="shared" si="2"/>
        <v>6</v>
      </c>
      <c r="AF16">
        <v>8</v>
      </c>
      <c r="AG16">
        <f t="shared" si="3"/>
        <v>559</v>
      </c>
      <c r="AH16">
        <f t="shared" si="4"/>
        <v>5.9112779569608205E-2</v>
      </c>
      <c r="AJ16" s="18">
        <v>8</v>
      </c>
      <c r="AK16" s="54">
        <f t="shared" si="5"/>
        <v>14.429429492941365</v>
      </c>
      <c r="AL16" s="54">
        <f t="shared" si="6"/>
        <v>44.393697456775762</v>
      </c>
      <c r="AM16" s="54">
        <f t="shared" si="7"/>
        <v>17.822503040236874</v>
      </c>
      <c r="AN16" s="54">
        <f t="shared" si="8"/>
        <v>10.634389044572517</v>
      </c>
      <c r="AO16" s="54">
        <f t="shared" si="9"/>
        <v>36.898197007349445</v>
      </c>
      <c r="AP16" s="54">
        <f t="shared" si="10"/>
        <v>20.476666842912287</v>
      </c>
      <c r="AQ16" s="54">
        <f t="shared" si="11"/>
        <v>25.578099719769472</v>
      </c>
      <c r="AR16" s="54">
        <f t="shared" si="12"/>
        <v>33.044043779410984</v>
      </c>
      <c r="AS16" s="54">
        <f t="shared" si="13"/>
        <v>58.728546502405756</v>
      </c>
      <c r="AT16" s="54">
        <f t="shared" si="14"/>
        <v>20.317062338074344</v>
      </c>
      <c r="AU16" s="54">
        <f t="shared" si="15"/>
        <v>56.216253370697409</v>
      </c>
      <c r="AV16" s="54">
        <f t="shared" si="16"/>
        <v>23.603732882144556</v>
      </c>
      <c r="AW16" s="54">
        <f t="shared" si="17"/>
        <v>12.567376936498706</v>
      </c>
      <c r="AX16" s="54">
        <f t="shared" si="18"/>
        <v>23.154475757415536</v>
      </c>
      <c r="AY16" s="54">
        <f t="shared" si="19"/>
        <v>42.31292761592556</v>
      </c>
      <c r="AZ16" s="54">
        <f t="shared" si="20"/>
        <v>41.585840427219374</v>
      </c>
      <c r="BA16" s="54">
        <f t="shared" si="21"/>
        <v>43.10503886215831</v>
      </c>
      <c r="BB16" s="54">
        <f t="shared" si="22"/>
        <v>10.581187542959869</v>
      </c>
      <c r="BC16" s="54">
        <f t="shared" si="23"/>
        <v>15.830402368741078</v>
      </c>
      <c r="BD16" s="54">
        <f t="shared" si="24"/>
        <v>7.7201290117908314</v>
      </c>
    </row>
    <row r="17" spans="1:56" x14ac:dyDescent="0.25">
      <c r="A17" s="9">
        <v>9</v>
      </c>
      <c r="B17" s="11">
        <v>9935</v>
      </c>
      <c r="D17" s="29">
        <f t="shared" si="0"/>
        <v>0.10506001163221065</v>
      </c>
      <c r="G17" s="18">
        <v>9</v>
      </c>
      <c r="H17" s="15">
        <v>35.793215036392212</v>
      </c>
      <c r="I17" s="2"/>
      <c r="J17" s="2">
        <v>74.031859636306763</v>
      </c>
      <c r="K17" s="2"/>
      <c r="L17" s="2">
        <v>53.490978479385376</v>
      </c>
      <c r="M17" s="2">
        <v>73.494118452072144</v>
      </c>
      <c r="N17" s="2"/>
      <c r="O17" s="2">
        <v>7.1507394313812256</v>
      </c>
      <c r="P17" s="2">
        <v>0</v>
      </c>
      <c r="Q17" s="2">
        <v>17.97376275062561</v>
      </c>
      <c r="R17" s="2"/>
      <c r="S17" s="2">
        <v>17.429119348526001</v>
      </c>
      <c r="T17" s="2">
        <v>69.478422403335571</v>
      </c>
      <c r="U17" s="2"/>
      <c r="V17" s="2">
        <v>44.089418649673462</v>
      </c>
      <c r="W17" s="2">
        <v>27.686268091201782</v>
      </c>
      <c r="X17" s="2">
        <v>52.104955911636353</v>
      </c>
      <c r="Y17" s="2">
        <v>26.769310235977173</v>
      </c>
      <c r="Z17" s="2">
        <v>62.665659189224243</v>
      </c>
      <c r="AA17" s="2"/>
      <c r="AC17" s="39">
        <f t="shared" si="1"/>
        <v>562.15782761573792</v>
      </c>
      <c r="AD17" s="2">
        <f t="shared" si="2"/>
        <v>13</v>
      </c>
      <c r="AF17">
        <v>9</v>
      </c>
      <c r="AG17">
        <f t="shared" si="3"/>
        <v>993.5</v>
      </c>
      <c r="AH17">
        <f t="shared" si="4"/>
        <v>0.10506001163221065</v>
      </c>
      <c r="AJ17" s="18">
        <v>9</v>
      </c>
      <c r="AK17" s="54">
        <f t="shared" si="5"/>
        <v>25.645148839422621</v>
      </c>
      <c r="AL17" s="54">
        <f t="shared" si="6"/>
        <v>78.900068735790185</v>
      </c>
      <c r="AM17" s="54">
        <f t="shared" si="7"/>
        <v>31.675593507111511</v>
      </c>
      <c r="AN17" s="54">
        <f t="shared" si="8"/>
        <v>18.900296092634697</v>
      </c>
      <c r="AO17" s="54">
        <f t="shared" si="9"/>
        <v>65.578459260825895</v>
      </c>
      <c r="AP17" s="54">
        <f t="shared" si="10"/>
        <v>36.392788029397778</v>
      </c>
      <c r="AQ17" s="54">
        <f t="shared" si="11"/>
        <v>45.459467033257546</v>
      </c>
      <c r="AR17" s="54">
        <f t="shared" si="12"/>
        <v>58.728546502405749</v>
      </c>
      <c r="AS17" s="54">
        <f t="shared" si="13"/>
        <v>104.37712155660128</v>
      </c>
      <c r="AT17" s="54">
        <f t="shared" si="14"/>
        <v>36.109125997990802</v>
      </c>
      <c r="AU17" s="54">
        <f t="shared" si="15"/>
        <v>99.912071062232329</v>
      </c>
      <c r="AV17" s="54">
        <f t="shared" si="16"/>
        <v>41.950462644741712</v>
      </c>
      <c r="AW17" s="54">
        <f t="shared" si="17"/>
        <v>22.335758473007985</v>
      </c>
      <c r="AX17" s="54">
        <f t="shared" si="18"/>
        <v>41.152006556336914</v>
      </c>
      <c r="AY17" s="54">
        <f t="shared" si="19"/>
        <v>75.201956326336386</v>
      </c>
      <c r="AZ17" s="54">
        <f t="shared" si="20"/>
        <v>73.909718183260196</v>
      </c>
      <c r="BA17" s="54">
        <f t="shared" si="21"/>
        <v>76.609760482208017</v>
      </c>
      <c r="BB17" s="54">
        <f t="shared" si="22"/>
        <v>18.805742082165704</v>
      </c>
      <c r="BC17" s="54">
        <f t="shared" si="23"/>
        <v>28.135071115106012</v>
      </c>
      <c r="BD17" s="54">
        <f t="shared" si="24"/>
        <v>13.720837519166711</v>
      </c>
    </row>
    <row r="18" spans="1:56" x14ac:dyDescent="0.25">
      <c r="A18" s="9">
        <v>10</v>
      </c>
      <c r="B18" s="11">
        <v>3437</v>
      </c>
      <c r="D18" s="29">
        <f t="shared" si="0"/>
        <v>3.6345370908898639E-2</v>
      </c>
      <c r="G18" s="18">
        <v>10</v>
      </c>
      <c r="H18" s="15">
        <v>63.286548852920532</v>
      </c>
      <c r="I18" s="2"/>
      <c r="J18" s="2"/>
      <c r="K18" s="2">
        <v>83.668416738510132</v>
      </c>
      <c r="L18" s="2">
        <v>64.207273721694946</v>
      </c>
      <c r="M18" s="2">
        <v>80.585306882858276</v>
      </c>
      <c r="N18" s="2">
        <v>1.7424881458282471</v>
      </c>
      <c r="O18" s="2">
        <v>5.9510648250579834</v>
      </c>
      <c r="P18" s="2">
        <v>17.97376275062561</v>
      </c>
      <c r="Q18" s="2">
        <v>0</v>
      </c>
      <c r="R18" s="2"/>
      <c r="S18" s="2"/>
      <c r="T18" s="2"/>
      <c r="U18" s="2"/>
      <c r="V18" s="2">
        <v>81.751173734664917</v>
      </c>
      <c r="W18" s="2">
        <v>16.6423499584198</v>
      </c>
      <c r="X18" s="2">
        <v>59.555071592330933</v>
      </c>
      <c r="Y18" s="2"/>
      <c r="Z18" s="2">
        <v>22.765463590621948</v>
      </c>
      <c r="AA18" s="2">
        <v>4.8795402050018311</v>
      </c>
      <c r="AC18" s="39">
        <f t="shared" si="1"/>
        <v>503.00846099853516</v>
      </c>
      <c r="AD18" s="2">
        <f t="shared" si="2"/>
        <v>12</v>
      </c>
      <c r="AF18">
        <v>10</v>
      </c>
      <c r="AG18">
        <f t="shared" si="3"/>
        <v>343.70000000000005</v>
      </c>
      <c r="AH18">
        <f t="shared" si="4"/>
        <v>3.6345370908898646E-2</v>
      </c>
      <c r="AJ18" s="18">
        <v>10</v>
      </c>
      <c r="AK18" s="54">
        <f t="shared" si="5"/>
        <v>8.8719050388621596</v>
      </c>
      <c r="AL18" s="54">
        <f t="shared" si="6"/>
        <v>27.29537355258288</v>
      </c>
      <c r="AM18" s="54">
        <f t="shared" si="7"/>
        <v>10.958129329032943</v>
      </c>
      <c r="AN18" s="54">
        <f t="shared" si="8"/>
        <v>6.538532226510867</v>
      </c>
      <c r="AO18" s="54">
        <f t="shared" si="9"/>
        <v>22.686780521334537</v>
      </c>
      <c r="AP18" s="54">
        <f t="shared" si="10"/>
        <v>12.590036482842493</v>
      </c>
      <c r="AQ18" s="54">
        <f t="shared" si="11"/>
        <v>15.726641992280445</v>
      </c>
      <c r="AR18" s="54">
        <f t="shared" si="12"/>
        <v>20.317062338074344</v>
      </c>
      <c r="AS18" s="54">
        <f t="shared" si="13"/>
        <v>36.109125997990809</v>
      </c>
      <c r="AT18" s="54">
        <f t="shared" si="14"/>
        <v>12.491903981388466</v>
      </c>
      <c r="AU18" s="54">
        <f t="shared" si="15"/>
        <v>34.564447734362616</v>
      </c>
      <c r="AV18" s="54">
        <f t="shared" si="16"/>
        <v>14.512706603923229</v>
      </c>
      <c r="AW18" s="54">
        <f t="shared" si="17"/>
        <v>7.7270258552318527</v>
      </c>
      <c r="AX18" s="54">
        <f t="shared" si="18"/>
        <v>14.2364817850156</v>
      </c>
      <c r="AY18" s="54">
        <f t="shared" si="19"/>
        <v>26.016016496589653</v>
      </c>
      <c r="AZ18" s="54">
        <f t="shared" si="20"/>
        <v>25.568968434410198</v>
      </c>
      <c r="BA18" s="54">
        <f t="shared" si="21"/>
        <v>26.503044466768895</v>
      </c>
      <c r="BB18" s="54">
        <f t="shared" si="22"/>
        <v>6.5058213926928579</v>
      </c>
      <c r="BC18" s="54">
        <f t="shared" si="23"/>
        <v>9.7332903294030579</v>
      </c>
      <c r="BD18" s="54">
        <f t="shared" si="24"/>
        <v>4.7467054407021632</v>
      </c>
    </row>
    <row r="19" spans="1:56" x14ac:dyDescent="0.25">
      <c r="A19" s="9">
        <v>11</v>
      </c>
      <c r="B19" s="11">
        <v>9510</v>
      </c>
      <c r="D19" s="29">
        <f t="shared" si="0"/>
        <v>0.10056574842700788</v>
      </c>
      <c r="G19" s="18">
        <v>11</v>
      </c>
      <c r="H19" s="15">
        <v>36.289221048355103</v>
      </c>
      <c r="I19" s="2">
        <v>39.088457822799683</v>
      </c>
      <c r="J19" s="2"/>
      <c r="K19" s="2">
        <v>26.73754096031189</v>
      </c>
      <c r="L19" s="2"/>
      <c r="M19" s="2">
        <v>71.723431348800659</v>
      </c>
      <c r="N19" s="2">
        <v>83.411389589309692</v>
      </c>
      <c r="O19" s="2"/>
      <c r="P19" s="2"/>
      <c r="Q19" s="2"/>
      <c r="R19" s="2">
        <v>0</v>
      </c>
      <c r="S19" s="2">
        <v>24.235421419143677</v>
      </c>
      <c r="T19" s="2">
        <v>31.830531358718872</v>
      </c>
      <c r="U19" s="2"/>
      <c r="V19" s="2"/>
      <c r="W19" s="2"/>
      <c r="X19" s="2"/>
      <c r="Y19" s="2"/>
      <c r="Z19" s="2">
        <v>85.856086015701294</v>
      </c>
      <c r="AA19" s="2"/>
      <c r="AC19" s="39">
        <f t="shared" si="1"/>
        <v>399.17207956314087</v>
      </c>
      <c r="AD19" s="2">
        <f t="shared" si="2"/>
        <v>8</v>
      </c>
      <c r="AF19">
        <v>11</v>
      </c>
      <c r="AG19">
        <f t="shared" si="3"/>
        <v>951</v>
      </c>
      <c r="AH19">
        <f t="shared" si="4"/>
        <v>0.10056574842700788</v>
      </c>
      <c r="AJ19" s="18">
        <v>11</v>
      </c>
      <c r="AK19" s="54">
        <f t="shared" si="5"/>
        <v>24.548099191032627</v>
      </c>
      <c r="AL19" s="54">
        <f t="shared" si="6"/>
        <v>75.524877068682912</v>
      </c>
      <c r="AM19" s="54">
        <f t="shared" si="7"/>
        <v>30.320573150742874</v>
      </c>
      <c r="AN19" s="54">
        <f t="shared" si="8"/>
        <v>18.091778142018718</v>
      </c>
      <c r="AO19" s="54">
        <f t="shared" si="9"/>
        <v>62.773140168138326</v>
      </c>
      <c r="AP19" s="54">
        <f t="shared" si="10"/>
        <v>34.835975255115535</v>
      </c>
      <c r="AQ19" s="54">
        <f t="shared" si="11"/>
        <v>43.51479934436631</v>
      </c>
      <c r="AR19" s="54">
        <f t="shared" si="12"/>
        <v>56.216253370697402</v>
      </c>
      <c r="AS19" s="54">
        <f t="shared" si="13"/>
        <v>99.912071062232329</v>
      </c>
      <c r="AT19" s="54">
        <f t="shared" si="14"/>
        <v>34.564447734362609</v>
      </c>
      <c r="AU19" s="54">
        <f t="shared" si="15"/>
        <v>95.638026754084493</v>
      </c>
      <c r="AV19" s="54">
        <f t="shared" si="16"/>
        <v>40.155903346904246</v>
      </c>
      <c r="AW19" s="54">
        <f t="shared" si="17"/>
        <v>21.380278115581877</v>
      </c>
      <c r="AX19" s="54">
        <f t="shared" si="18"/>
        <v>39.39160365885899</v>
      </c>
      <c r="AY19" s="54">
        <f t="shared" si="19"/>
        <v>71.984962724052238</v>
      </c>
      <c r="AZ19" s="54">
        <f t="shared" si="20"/>
        <v>70.748004018400039</v>
      </c>
      <c r="BA19" s="54">
        <f t="shared" si="21"/>
        <v>73.332543752974146</v>
      </c>
      <c r="BB19" s="54">
        <f t="shared" si="22"/>
        <v>18.00126896843441</v>
      </c>
      <c r="BC19" s="54">
        <f t="shared" si="23"/>
        <v>26.93150742875271</v>
      </c>
      <c r="BD19" s="54">
        <f t="shared" si="24"/>
        <v>13.133886744567228</v>
      </c>
    </row>
    <row r="20" spans="1:56" x14ac:dyDescent="0.25">
      <c r="A20" s="9">
        <v>12</v>
      </c>
      <c r="B20" s="11">
        <v>3993</v>
      </c>
      <c r="D20" s="29">
        <f t="shared" si="0"/>
        <v>4.2224924654999205E-2</v>
      </c>
      <c r="G20" s="18">
        <v>12</v>
      </c>
      <c r="H20" s="15">
        <v>14.225059747695923</v>
      </c>
      <c r="I20" s="2"/>
      <c r="J20" s="2">
        <v>76.815968751907349</v>
      </c>
      <c r="K20" s="2">
        <v>37.960046529769897</v>
      </c>
      <c r="L20" s="2"/>
      <c r="M20" s="2">
        <v>64.535444974899292</v>
      </c>
      <c r="N20" s="2">
        <v>45.770293474197388</v>
      </c>
      <c r="O20" s="2">
        <v>98.490375280380249</v>
      </c>
      <c r="P20" s="2">
        <v>17.429119348526001</v>
      </c>
      <c r="Q20" s="2"/>
      <c r="R20" s="2">
        <v>24.235421419143677</v>
      </c>
      <c r="S20" s="2">
        <v>0</v>
      </c>
      <c r="T20" s="2">
        <v>40.805953741073608</v>
      </c>
      <c r="U20" s="2">
        <v>76.827043294906616</v>
      </c>
      <c r="V20" s="2"/>
      <c r="W20" s="2">
        <v>15.438741445541382</v>
      </c>
      <c r="X20" s="2"/>
      <c r="Y20" s="2"/>
      <c r="Z20" s="2">
        <v>3.4031331539154053</v>
      </c>
      <c r="AA20" s="2">
        <v>47.807401418685913</v>
      </c>
      <c r="AC20" s="39">
        <f t="shared" si="1"/>
        <v>563.7440025806427</v>
      </c>
      <c r="AD20" s="2">
        <f t="shared" si="2"/>
        <v>13</v>
      </c>
      <c r="AF20">
        <v>12</v>
      </c>
      <c r="AG20">
        <f t="shared" si="3"/>
        <v>399.3</v>
      </c>
      <c r="AH20">
        <f t="shared" si="4"/>
        <v>4.2224924654999205E-2</v>
      </c>
      <c r="AJ20" s="18">
        <v>12</v>
      </c>
      <c r="AK20" s="54">
        <f t="shared" si="5"/>
        <v>10.307104108285309</v>
      </c>
      <c r="AL20" s="54">
        <f t="shared" si="6"/>
        <v>31.710918415904402</v>
      </c>
      <c r="AM20" s="54">
        <f t="shared" si="7"/>
        <v>12.730814783482261</v>
      </c>
      <c r="AN20" s="54">
        <f t="shared" si="8"/>
        <v>7.5962639454343579</v>
      </c>
      <c r="AO20" s="54">
        <f t="shared" si="9"/>
        <v>26.356797969650508</v>
      </c>
      <c r="AP20" s="54">
        <f t="shared" si="10"/>
        <v>14.626713900491728</v>
      </c>
      <c r="AQ20" s="54">
        <f t="shared" si="11"/>
        <v>18.270724898218159</v>
      </c>
      <c r="AR20" s="54">
        <f t="shared" si="12"/>
        <v>23.603732882144556</v>
      </c>
      <c r="AS20" s="54">
        <f t="shared" si="13"/>
        <v>41.950462644741712</v>
      </c>
      <c r="AT20" s="54">
        <f t="shared" si="14"/>
        <v>14.512706603923229</v>
      </c>
      <c r="AU20" s="54">
        <f t="shared" si="15"/>
        <v>40.155903346904246</v>
      </c>
      <c r="AV20" s="54">
        <f t="shared" si="16"/>
        <v>16.860412414741184</v>
      </c>
      <c r="AW20" s="54">
        <f t="shared" si="17"/>
        <v>8.977018981652833</v>
      </c>
      <c r="AX20" s="54">
        <f t="shared" si="18"/>
        <v>16.539502987363193</v>
      </c>
      <c r="AY20" s="54">
        <f t="shared" si="19"/>
        <v>30.224601068048436</v>
      </c>
      <c r="AZ20" s="54">
        <f t="shared" si="20"/>
        <v>29.705234494791942</v>
      </c>
      <c r="BA20" s="54">
        <f t="shared" si="21"/>
        <v>30.790415058425427</v>
      </c>
      <c r="BB20" s="54">
        <f t="shared" si="22"/>
        <v>7.5582615132448581</v>
      </c>
      <c r="BC20" s="54">
        <f t="shared" si="23"/>
        <v>11.307834822608788</v>
      </c>
      <c r="BD20" s="54">
        <f t="shared" si="24"/>
        <v>5.514575159942896</v>
      </c>
    </row>
    <row r="21" spans="1:56" x14ac:dyDescent="0.25">
      <c r="A21" s="9">
        <v>13</v>
      </c>
      <c r="B21" s="11">
        <v>2126</v>
      </c>
      <c r="D21" s="29">
        <f t="shared" si="0"/>
        <v>2.248189076296727E-2</v>
      </c>
      <c r="G21" s="18">
        <v>13</v>
      </c>
      <c r="H21" s="15"/>
      <c r="I21" s="2">
        <v>3.3730685710906982</v>
      </c>
      <c r="J21" s="2"/>
      <c r="K21" s="2"/>
      <c r="L21" s="2">
        <v>62.478595972061157</v>
      </c>
      <c r="M21" s="2"/>
      <c r="N21" s="2"/>
      <c r="O21" s="2"/>
      <c r="P21" s="2">
        <v>69.478422403335571</v>
      </c>
      <c r="Q21" s="2"/>
      <c r="R21" s="2">
        <v>31.830531358718872</v>
      </c>
      <c r="S21" s="2">
        <v>40.805953741073608</v>
      </c>
      <c r="T21" s="2">
        <v>0</v>
      </c>
      <c r="U21" s="2">
        <v>57.908350229263306</v>
      </c>
      <c r="V21" s="2"/>
      <c r="W21" s="2">
        <v>3.2651960849761963</v>
      </c>
      <c r="X21" s="2">
        <v>3.7291109561920166</v>
      </c>
      <c r="Y21" s="2">
        <v>28.510957956314087</v>
      </c>
      <c r="Z21" s="2">
        <v>58.909565210342407</v>
      </c>
      <c r="AA21" s="2">
        <v>77.786260843276978</v>
      </c>
      <c r="AC21" s="39">
        <f t="shared" si="1"/>
        <v>438.0760133266449</v>
      </c>
      <c r="AD21" s="2">
        <f t="shared" si="2"/>
        <v>11</v>
      </c>
      <c r="AF21">
        <v>13</v>
      </c>
      <c r="AG21">
        <f t="shared" si="3"/>
        <v>212.60000000000002</v>
      </c>
      <c r="AH21">
        <f t="shared" si="4"/>
        <v>2.2481890762967274E-2</v>
      </c>
      <c r="AJ21" s="18">
        <v>13</v>
      </c>
      <c r="AK21" s="54">
        <f t="shared" si="5"/>
        <v>5.4878295352403121</v>
      </c>
      <c r="AL21" s="54">
        <f t="shared" si="6"/>
        <v>16.883899962988423</v>
      </c>
      <c r="AM21" s="54">
        <f t="shared" si="7"/>
        <v>6.7782900650346329</v>
      </c>
      <c r="AN21" s="54">
        <f t="shared" si="8"/>
        <v>4.0444921482578131</v>
      </c>
      <c r="AO21" s="54">
        <f t="shared" si="9"/>
        <v>14.033196214244175</v>
      </c>
      <c r="AP21" s="54">
        <f t="shared" si="10"/>
        <v>7.7877269602918648</v>
      </c>
      <c r="AQ21" s="54">
        <f t="shared" si="11"/>
        <v>9.7279141331359398</v>
      </c>
      <c r="AR21" s="54">
        <f t="shared" si="12"/>
        <v>12.567376936498706</v>
      </c>
      <c r="AS21" s="54">
        <f t="shared" si="13"/>
        <v>22.335758473007989</v>
      </c>
      <c r="AT21" s="54">
        <f t="shared" si="14"/>
        <v>7.7270258552318527</v>
      </c>
      <c r="AU21" s="54">
        <f t="shared" si="15"/>
        <v>21.380278115581877</v>
      </c>
      <c r="AV21" s="54">
        <f t="shared" si="16"/>
        <v>8.9770189816528312</v>
      </c>
      <c r="AW21" s="54">
        <f t="shared" si="17"/>
        <v>4.7796499762068425</v>
      </c>
      <c r="AX21" s="54">
        <f t="shared" si="18"/>
        <v>8.8061566118542824</v>
      </c>
      <c r="AY21" s="54">
        <f t="shared" si="19"/>
        <v>16.092537408131975</v>
      </c>
      <c r="AZ21" s="54">
        <f t="shared" si="20"/>
        <v>15.816010151747477</v>
      </c>
      <c r="BA21" s="54">
        <f t="shared" si="21"/>
        <v>16.393794744355738</v>
      </c>
      <c r="BB21" s="54">
        <f t="shared" si="22"/>
        <v>4.0242584465711415</v>
      </c>
      <c r="BC21" s="54">
        <f t="shared" si="23"/>
        <v>6.0206503463226362</v>
      </c>
      <c r="BD21" s="54">
        <f t="shared" si="24"/>
        <v>2.9361349336435261</v>
      </c>
    </row>
    <row r="22" spans="1:56" x14ac:dyDescent="0.25">
      <c r="A22" s="9">
        <v>14</v>
      </c>
      <c r="B22" s="11">
        <v>3917</v>
      </c>
      <c r="D22" s="29">
        <f t="shared" si="0"/>
        <v>4.1421244646539415E-2</v>
      </c>
      <c r="G22" s="18">
        <v>14</v>
      </c>
      <c r="H22" s="15">
        <v>80.404049158096313</v>
      </c>
      <c r="I22" s="2"/>
      <c r="J22" s="2">
        <v>26.767235994338989</v>
      </c>
      <c r="K22" s="2"/>
      <c r="L22" s="2">
        <v>4.9392759799957275</v>
      </c>
      <c r="M22" s="2">
        <v>96.001452207565308</v>
      </c>
      <c r="N22" s="2">
        <v>79.940921068191528</v>
      </c>
      <c r="O22" s="2">
        <v>64.815086126327515</v>
      </c>
      <c r="P22" s="2"/>
      <c r="Q22" s="2"/>
      <c r="R22" s="2"/>
      <c r="S22" s="2">
        <v>76.827043294906616</v>
      </c>
      <c r="T22" s="2">
        <v>57.908350229263306</v>
      </c>
      <c r="U22" s="2">
        <v>0</v>
      </c>
      <c r="V22" s="2">
        <v>46.646279096603394</v>
      </c>
      <c r="W22" s="2">
        <v>10.231608152389526</v>
      </c>
      <c r="X22" s="2"/>
      <c r="Y22" s="2"/>
      <c r="Z22" s="2"/>
      <c r="AA22" s="2">
        <v>29.749315977096558</v>
      </c>
      <c r="AC22" s="39">
        <f t="shared" si="1"/>
        <v>574.23061728477478</v>
      </c>
      <c r="AD22" s="2">
        <f t="shared" si="2"/>
        <v>11</v>
      </c>
      <c r="AF22">
        <v>14</v>
      </c>
      <c r="AG22">
        <f t="shared" si="3"/>
        <v>391.70000000000005</v>
      </c>
      <c r="AH22">
        <f t="shared" si="4"/>
        <v>4.1421244646539422E-2</v>
      </c>
      <c r="AJ22" s="18">
        <v>14</v>
      </c>
      <c r="AK22" s="54">
        <f t="shared" si="5"/>
        <v>10.110925818220274</v>
      </c>
      <c r="AL22" s="54">
        <f t="shared" si="6"/>
        <v>31.107354729551105</v>
      </c>
      <c r="AM22" s="54">
        <f t="shared" si="7"/>
        <v>12.488505260931635</v>
      </c>
      <c r="AN22" s="54">
        <f t="shared" si="8"/>
        <v>7.4516819119124422</v>
      </c>
      <c r="AO22" s="54">
        <f t="shared" si="9"/>
        <v>25.855140908369911</v>
      </c>
      <c r="AP22" s="54">
        <f t="shared" si="10"/>
        <v>14.348319145561259</v>
      </c>
      <c r="AQ22" s="54">
        <f t="shared" si="11"/>
        <v>17.922972558557607</v>
      </c>
      <c r="AR22" s="54">
        <f t="shared" si="12"/>
        <v>23.154475757415536</v>
      </c>
      <c r="AS22" s="54">
        <f t="shared" si="13"/>
        <v>41.152006556336914</v>
      </c>
      <c r="AT22" s="54">
        <f t="shared" si="14"/>
        <v>14.2364817850156</v>
      </c>
      <c r="AU22" s="54">
        <f t="shared" si="15"/>
        <v>39.39160365885899</v>
      </c>
      <c r="AV22" s="54">
        <f t="shared" si="16"/>
        <v>16.539502987363189</v>
      </c>
      <c r="AW22" s="54">
        <f t="shared" si="17"/>
        <v>8.8061566118542824</v>
      </c>
      <c r="AX22" s="54">
        <f t="shared" si="18"/>
        <v>16.224701528049494</v>
      </c>
      <c r="AY22" s="54">
        <f t="shared" si="19"/>
        <v>29.649326917992919</v>
      </c>
      <c r="AZ22" s="54">
        <f t="shared" si="20"/>
        <v>29.139845608840485</v>
      </c>
      <c r="BA22" s="54">
        <f t="shared" si="21"/>
        <v>30.20437159625655</v>
      </c>
      <c r="BB22" s="54">
        <f t="shared" si="22"/>
        <v>7.4144027917305566</v>
      </c>
      <c r="BC22" s="54">
        <f t="shared" si="23"/>
        <v>11.092609316343259</v>
      </c>
      <c r="BD22" s="54">
        <f t="shared" si="24"/>
        <v>5.4096145508380484</v>
      </c>
    </row>
    <row r="23" spans="1:56" x14ac:dyDescent="0.25">
      <c r="A23" s="9">
        <v>15</v>
      </c>
      <c r="B23" s="11">
        <v>7158</v>
      </c>
      <c r="D23" s="29">
        <f t="shared" si="0"/>
        <v>7.5693967112568081E-2</v>
      </c>
      <c r="G23" s="18">
        <v>15</v>
      </c>
      <c r="H23" s="15">
        <v>95.307356119155884</v>
      </c>
      <c r="I23" s="2"/>
      <c r="J23" s="2"/>
      <c r="K23" s="2">
        <v>66.192382574081421</v>
      </c>
      <c r="L23" s="2">
        <v>24.989372491836548</v>
      </c>
      <c r="M23" s="2">
        <v>90.22185206413269</v>
      </c>
      <c r="N23" s="2">
        <v>51.850301027297974</v>
      </c>
      <c r="O23" s="2"/>
      <c r="P23" s="2">
        <v>44.089418649673462</v>
      </c>
      <c r="Q23" s="2">
        <v>81.751173734664917</v>
      </c>
      <c r="R23" s="2"/>
      <c r="S23" s="2"/>
      <c r="T23" s="2"/>
      <c r="U23" s="2">
        <v>46.646279096603394</v>
      </c>
      <c r="V23" s="2">
        <v>0</v>
      </c>
      <c r="W23" s="2"/>
      <c r="X23" s="2"/>
      <c r="Y23" s="2">
        <v>93.544036149978638</v>
      </c>
      <c r="Z23" s="2"/>
      <c r="AA23" s="2">
        <v>86.796694993972778</v>
      </c>
      <c r="AC23" s="39">
        <f t="shared" si="1"/>
        <v>681.38886690139771</v>
      </c>
      <c r="AD23" s="2">
        <f t="shared" si="2"/>
        <v>10</v>
      </c>
      <c r="AF23">
        <v>15</v>
      </c>
      <c r="AG23">
        <f t="shared" si="3"/>
        <v>715.80000000000007</v>
      </c>
      <c r="AH23">
        <f t="shared" si="4"/>
        <v>7.5693967112568081E-2</v>
      </c>
      <c r="AJ23" s="18">
        <v>15</v>
      </c>
      <c r="AK23" s="54">
        <f t="shared" si="5"/>
        <v>18.47689737217787</v>
      </c>
      <c r="AL23" s="54">
        <f t="shared" si="6"/>
        <v>56.846169301538623</v>
      </c>
      <c r="AM23" s="54">
        <f t="shared" si="7"/>
        <v>22.821731084439278</v>
      </c>
      <c r="AN23" s="54">
        <f t="shared" si="8"/>
        <v>13.617344683550998</v>
      </c>
      <c r="AO23" s="54">
        <f t="shared" si="9"/>
        <v>47.248174271665</v>
      </c>
      <c r="AP23" s="54">
        <f t="shared" si="10"/>
        <v>26.220390207793589</v>
      </c>
      <c r="AQ23" s="54">
        <f t="shared" si="11"/>
        <v>32.752779569608208</v>
      </c>
      <c r="AR23" s="54">
        <f t="shared" si="12"/>
        <v>42.31292761592556</v>
      </c>
      <c r="AS23" s="54">
        <f t="shared" si="13"/>
        <v>75.201956326336386</v>
      </c>
      <c r="AT23" s="54">
        <f t="shared" si="14"/>
        <v>26.016016496589653</v>
      </c>
      <c r="AU23" s="54">
        <f t="shared" si="15"/>
        <v>71.984962724052252</v>
      </c>
      <c r="AV23" s="54">
        <f t="shared" si="16"/>
        <v>30.224601068048432</v>
      </c>
      <c r="AW23" s="54">
        <f t="shared" si="17"/>
        <v>16.092537408131975</v>
      </c>
      <c r="AX23" s="54">
        <f t="shared" si="18"/>
        <v>29.649326917992923</v>
      </c>
      <c r="AY23" s="54">
        <f t="shared" si="19"/>
        <v>54.18174165917624</v>
      </c>
      <c r="AZ23" s="54">
        <f t="shared" si="20"/>
        <v>53.250705863691643</v>
      </c>
      <c r="BA23" s="54">
        <f t="shared" si="21"/>
        <v>55.196040818484654</v>
      </c>
      <c r="BB23" s="54">
        <f t="shared" si="22"/>
        <v>13.549220113149687</v>
      </c>
      <c r="BC23" s="54">
        <f t="shared" si="23"/>
        <v>20.270844392745733</v>
      </c>
      <c r="BD23" s="54">
        <f t="shared" si="24"/>
        <v>9.8856321049013918</v>
      </c>
    </row>
    <row r="24" spans="1:56" x14ac:dyDescent="0.25">
      <c r="A24" s="9">
        <v>16</v>
      </c>
      <c r="B24" s="11">
        <v>7035</v>
      </c>
      <c r="D24" s="29">
        <f t="shared" si="0"/>
        <v>7.4393274467297626E-2</v>
      </c>
      <c r="G24" s="18">
        <v>16</v>
      </c>
      <c r="H24" s="15"/>
      <c r="I24" s="2"/>
      <c r="J24" s="2">
        <v>74.08788800239563</v>
      </c>
      <c r="K24" s="2">
        <v>80.985444784164429</v>
      </c>
      <c r="L24" s="2">
        <v>8.6152136325836182</v>
      </c>
      <c r="M24" s="2"/>
      <c r="N24" s="2"/>
      <c r="O24" s="2"/>
      <c r="P24" s="2">
        <v>27.686268091201782</v>
      </c>
      <c r="Q24" s="2">
        <v>16.6423499584198</v>
      </c>
      <c r="R24" s="2"/>
      <c r="S24" s="2">
        <v>15.438741445541382</v>
      </c>
      <c r="T24" s="2">
        <v>3.2651960849761963</v>
      </c>
      <c r="U24" s="2">
        <v>10.231608152389526</v>
      </c>
      <c r="V24" s="2"/>
      <c r="W24" s="2">
        <v>0</v>
      </c>
      <c r="X24" s="2">
        <v>60.241502523422241</v>
      </c>
      <c r="Y24" s="2">
        <v>56.579059362411499</v>
      </c>
      <c r="Z24" s="2"/>
      <c r="AA24" s="2"/>
      <c r="AC24" s="39">
        <f t="shared" si="1"/>
        <v>353.7732720375061</v>
      </c>
      <c r="AD24" s="2">
        <f t="shared" si="2"/>
        <v>10</v>
      </c>
      <c r="AF24">
        <v>16</v>
      </c>
      <c r="AG24">
        <f t="shared" si="3"/>
        <v>703.5</v>
      </c>
      <c r="AH24">
        <f t="shared" si="4"/>
        <v>7.4393274467297626E-2</v>
      </c>
      <c r="AJ24" s="18">
        <v>16</v>
      </c>
      <c r="AK24" s="54">
        <f t="shared" si="5"/>
        <v>18.159398297467352</v>
      </c>
      <c r="AL24" s="54">
        <f t="shared" si="6"/>
        <v>55.869349124940513</v>
      </c>
      <c r="AM24" s="54">
        <f t="shared" si="7"/>
        <v>22.429572251890235</v>
      </c>
      <c r="AN24" s="54">
        <f t="shared" si="8"/>
        <v>13.383350076666844</v>
      </c>
      <c r="AO24" s="54">
        <f t="shared" si="9"/>
        <v>46.436281922487183</v>
      </c>
      <c r="AP24" s="54">
        <f t="shared" si="10"/>
        <v>25.769830275471904</v>
      </c>
      <c r="AQ24" s="54">
        <f t="shared" si="11"/>
        <v>32.189969861999685</v>
      </c>
      <c r="AR24" s="54">
        <f t="shared" si="12"/>
        <v>41.585840427219374</v>
      </c>
      <c r="AS24" s="54">
        <f t="shared" si="13"/>
        <v>73.909718183260196</v>
      </c>
      <c r="AT24" s="54">
        <f t="shared" si="14"/>
        <v>25.568968434410198</v>
      </c>
      <c r="AU24" s="54">
        <f t="shared" si="15"/>
        <v>70.748004018400053</v>
      </c>
      <c r="AV24" s="54">
        <f t="shared" si="16"/>
        <v>29.705234494791942</v>
      </c>
      <c r="AW24" s="54">
        <f t="shared" si="17"/>
        <v>15.816010151747477</v>
      </c>
      <c r="AX24" s="54">
        <f t="shared" si="18"/>
        <v>29.139845608840485</v>
      </c>
      <c r="AY24" s="54">
        <f t="shared" si="19"/>
        <v>53.250705863691643</v>
      </c>
      <c r="AZ24" s="54">
        <f t="shared" si="20"/>
        <v>52.335668587743882</v>
      </c>
      <c r="BA24" s="54">
        <f t="shared" si="21"/>
        <v>54.247575741553433</v>
      </c>
      <c r="BB24" s="54">
        <f t="shared" si="22"/>
        <v>13.316396129646275</v>
      </c>
      <c r="BC24" s="54">
        <f t="shared" si="23"/>
        <v>19.922518902342304</v>
      </c>
      <c r="BD24" s="54">
        <f t="shared" si="24"/>
        <v>9.7157616454290689</v>
      </c>
    </row>
    <row r="25" spans="1:56" x14ac:dyDescent="0.25">
      <c r="A25" s="9">
        <v>17</v>
      </c>
      <c r="B25" s="11">
        <v>7292</v>
      </c>
      <c r="D25" s="29">
        <f t="shared" si="0"/>
        <v>7.711098186432612E-2</v>
      </c>
      <c r="G25" s="18">
        <v>17</v>
      </c>
      <c r="H25" s="15">
        <v>67.110735177993774</v>
      </c>
      <c r="I25" s="2"/>
      <c r="J25" s="2"/>
      <c r="K25" s="2"/>
      <c r="L25" s="2"/>
      <c r="M25" s="2">
        <v>55.022209882736206</v>
      </c>
      <c r="N25" s="2">
        <v>79.780083894729614</v>
      </c>
      <c r="O25" s="2"/>
      <c r="P25" s="2">
        <v>52.104955911636353</v>
      </c>
      <c r="Q25" s="2">
        <v>59.555071592330933</v>
      </c>
      <c r="R25" s="2"/>
      <c r="S25" s="2"/>
      <c r="T25" s="2">
        <v>3.7291109561920166</v>
      </c>
      <c r="U25" s="2"/>
      <c r="V25" s="2"/>
      <c r="W25" s="2">
        <v>60.241502523422241</v>
      </c>
      <c r="X25" s="2">
        <v>0</v>
      </c>
      <c r="Y25" s="2"/>
      <c r="Z25" s="2"/>
      <c r="AA25" s="2">
        <v>5.0207674503326416</v>
      </c>
      <c r="AC25" s="39">
        <f t="shared" si="1"/>
        <v>382.56443738937378</v>
      </c>
      <c r="AD25" s="2">
        <f t="shared" si="2"/>
        <v>8</v>
      </c>
      <c r="AF25">
        <v>17</v>
      </c>
      <c r="AG25">
        <f t="shared" si="3"/>
        <v>729.2</v>
      </c>
      <c r="AH25">
        <f t="shared" si="4"/>
        <v>7.7110981864326134E-2</v>
      </c>
      <c r="AJ25" s="18">
        <v>17</v>
      </c>
      <c r="AK25" s="54">
        <f t="shared" si="5"/>
        <v>18.822790673082011</v>
      </c>
      <c r="AL25" s="54">
        <f t="shared" si="6"/>
        <v>57.910347380108917</v>
      </c>
      <c r="AM25" s="54">
        <f t="shared" si="7"/>
        <v>23.248961032094329</v>
      </c>
      <c r="AN25" s="54">
        <f t="shared" si="8"/>
        <v>13.872265637392271</v>
      </c>
      <c r="AO25" s="54">
        <f t="shared" si="9"/>
        <v>48.132674879712376</v>
      </c>
      <c r="AP25" s="54">
        <f t="shared" si="10"/>
        <v>26.711244117802575</v>
      </c>
      <c r="AQ25" s="54">
        <f t="shared" si="11"/>
        <v>33.365921852693916</v>
      </c>
      <c r="AR25" s="54">
        <f t="shared" si="12"/>
        <v>43.105038862158302</v>
      </c>
      <c r="AS25" s="54">
        <f t="shared" si="13"/>
        <v>76.609760482208017</v>
      </c>
      <c r="AT25" s="54">
        <f t="shared" si="14"/>
        <v>26.503044466768895</v>
      </c>
      <c r="AU25" s="54">
        <f t="shared" si="15"/>
        <v>73.332543752974146</v>
      </c>
      <c r="AV25" s="54">
        <f t="shared" si="16"/>
        <v>30.79041505842542</v>
      </c>
      <c r="AW25" s="54">
        <f t="shared" si="17"/>
        <v>16.393794744355738</v>
      </c>
      <c r="AX25" s="54">
        <f t="shared" si="18"/>
        <v>30.20437159625655</v>
      </c>
      <c r="AY25" s="54">
        <f t="shared" si="19"/>
        <v>55.196040818484647</v>
      </c>
      <c r="AZ25" s="54">
        <f t="shared" si="20"/>
        <v>54.247575741553433</v>
      </c>
      <c r="BA25" s="54">
        <f t="shared" si="21"/>
        <v>56.229327975466617</v>
      </c>
      <c r="BB25" s="54">
        <f t="shared" si="22"/>
        <v>13.802865753714377</v>
      </c>
      <c r="BC25" s="54">
        <f t="shared" si="23"/>
        <v>20.650320943266539</v>
      </c>
      <c r="BD25" s="54">
        <f t="shared" si="24"/>
        <v>10.070694231480992</v>
      </c>
    </row>
    <row r="26" spans="1:56" x14ac:dyDescent="0.25">
      <c r="A26" s="9">
        <v>18</v>
      </c>
      <c r="B26" s="11">
        <v>1790</v>
      </c>
      <c r="D26" s="29">
        <f t="shared" si="0"/>
        <v>1.8928779146618727E-2</v>
      </c>
      <c r="G26" s="18">
        <v>18</v>
      </c>
      <c r="H26" s="15">
        <v>10.045963525772001</v>
      </c>
      <c r="I26" s="2">
        <v>2.4108588695526123</v>
      </c>
      <c r="J26" s="2">
        <v>81.668549776077271</v>
      </c>
      <c r="K26" s="2"/>
      <c r="L26" s="2"/>
      <c r="M26" s="2">
        <v>15.543574094772339</v>
      </c>
      <c r="N26" s="2"/>
      <c r="O26" s="2">
        <v>57.883208990097046</v>
      </c>
      <c r="P26" s="2">
        <v>26.769310235977173</v>
      </c>
      <c r="Q26" s="2"/>
      <c r="R26" s="2"/>
      <c r="S26" s="2"/>
      <c r="T26" s="2">
        <v>28.510957956314087</v>
      </c>
      <c r="U26" s="2"/>
      <c r="V26" s="2">
        <v>93.544036149978638</v>
      </c>
      <c r="W26" s="2">
        <v>56.579059362411499</v>
      </c>
      <c r="X26" s="2"/>
      <c r="Y26" s="2">
        <v>0</v>
      </c>
      <c r="Z26" s="2">
        <v>10.015696287155151</v>
      </c>
      <c r="AA26" s="2"/>
      <c r="AC26" s="39">
        <f t="shared" si="1"/>
        <v>382.9712152481078</v>
      </c>
      <c r="AD26" s="2">
        <f t="shared" si="2"/>
        <v>10</v>
      </c>
      <c r="AF26">
        <v>18</v>
      </c>
      <c r="AG26">
        <f t="shared" si="3"/>
        <v>179</v>
      </c>
      <c r="AH26">
        <f t="shared" si="4"/>
        <v>1.8928779146618727E-2</v>
      </c>
      <c r="AJ26" s="18">
        <v>18</v>
      </c>
      <c r="AK26" s="54">
        <f t="shared" si="5"/>
        <v>4.6205149896896316</v>
      </c>
      <c r="AL26" s="54">
        <f t="shared" si="6"/>
        <v>14.215513139110664</v>
      </c>
      <c r="AM26" s="54">
        <f t="shared" si="7"/>
        <v>5.7070269127055466</v>
      </c>
      <c r="AN26" s="54">
        <f t="shared" si="8"/>
        <v>3.4052873684767095</v>
      </c>
      <c r="AO26" s="54">
        <f t="shared" si="9"/>
        <v>11.815343943319412</v>
      </c>
      <c r="AP26" s="54">
        <f t="shared" si="10"/>
        <v>6.5569290963887283</v>
      </c>
      <c r="AQ26" s="54">
        <f t="shared" si="11"/>
        <v>8.1904827367419237</v>
      </c>
      <c r="AR26" s="54">
        <f t="shared" si="12"/>
        <v>10.581187542959869</v>
      </c>
      <c r="AS26" s="54">
        <f t="shared" si="13"/>
        <v>18.805742082165708</v>
      </c>
      <c r="AT26" s="54">
        <f t="shared" si="14"/>
        <v>6.5058213926928579</v>
      </c>
      <c r="AU26" s="54">
        <f t="shared" si="15"/>
        <v>18.00126896843441</v>
      </c>
      <c r="AV26" s="54">
        <f t="shared" si="16"/>
        <v>7.5582615132448581</v>
      </c>
      <c r="AW26" s="54">
        <f t="shared" si="17"/>
        <v>4.0242584465711424</v>
      </c>
      <c r="AX26" s="54">
        <f t="shared" si="18"/>
        <v>7.4144027917305566</v>
      </c>
      <c r="AY26" s="54">
        <f t="shared" si="19"/>
        <v>13.549220113149687</v>
      </c>
      <c r="AZ26" s="54">
        <f t="shared" si="20"/>
        <v>13.316396129646275</v>
      </c>
      <c r="BA26" s="54">
        <f t="shared" si="21"/>
        <v>13.802865753714379</v>
      </c>
      <c r="BB26" s="54">
        <f t="shared" si="22"/>
        <v>3.3882514672447521</v>
      </c>
      <c r="BC26" s="54">
        <f t="shared" si="23"/>
        <v>5.0691270554644952</v>
      </c>
      <c r="BD26" s="54">
        <f t="shared" si="24"/>
        <v>2.4720985565484059</v>
      </c>
    </row>
    <row r="27" spans="1:56" x14ac:dyDescent="0.25">
      <c r="A27" s="9">
        <v>19</v>
      </c>
      <c r="B27" s="11">
        <v>2678</v>
      </c>
      <c r="D27" s="29">
        <f t="shared" si="0"/>
        <v>2.8319145561254165E-2</v>
      </c>
      <c r="G27" s="18">
        <v>19</v>
      </c>
      <c r="H27" s="15">
        <v>17.631155252456665</v>
      </c>
      <c r="I27" s="2"/>
      <c r="J27" s="2">
        <v>62.670642137527466</v>
      </c>
      <c r="K27" s="2">
        <v>5.4763257503509521</v>
      </c>
      <c r="L27" s="2">
        <v>74.247986078262329</v>
      </c>
      <c r="M27" s="2">
        <v>94.877499341964722</v>
      </c>
      <c r="N27" s="2">
        <v>45.704251527786255</v>
      </c>
      <c r="O27" s="2"/>
      <c r="P27" s="2">
        <v>62.665659189224243</v>
      </c>
      <c r="Q27" s="2">
        <v>22.765463590621948</v>
      </c>
      <c r="R27" s="2">
        <v>85.856086015701294</v>
      </c>
      <c r="S27" s="2">
        <v>3.4031331539154053</v>
      </c>
      <c r="T27" s="2">
        <v>58.909565210342407</v>
      </c>
      <c r="U27" s="2"/>
      <c r="V27" s="2"/>
      <c r="W27" s="2"/>
      <c r="X27" s="2"/>
      <c r="Y27" s="2">
        <v>10.015696287155151</v>
      </c>
      <c r="Z27" s="2">
        <v>0</v>
      </c>
      <c r="AA27" s="2"/>
      <c r="AC27" s="39">
        <f t="shared" si="1"/>
        <v>544.22346353530884</v>
      </c>
      <c r="AD27" s="2">
        <f t="shared" si="2"/>
        <v>12</v>
      </c>
      <c r="AF27">
        <v>19</v>
      </c>
      <c r="AG27">
        <f t="shared" si="3"/>
        <v>267.8</v>
      </c>
      <c r="AH27">
        <f t="shared" si="4"/>
        <v>2.8319145561254165E-2</v>
      </c>
      <c r="AJ27" s="18">
        <v>19</v>
      </c>
      <c r="AK27" s="54">
        <f t="shared" si="5"/>
        <v>6.9127034315021421</v>
      </c>
      <c r="AL27" s="54">
        <f t="shared" si="6"/>
        <v>21.267678316501875</v>
      </c>
      <c r="AM27" s="54">
        <f t="shared" si="7"/>
        <v>8.5382223867181306</v>
      </c>
      <c r="AN27" s="54">
        <f t="shared" si="8"/>
        <v>5.0946142864696249</v>
      </c>
      <c r="AO27" s="54">
        <f t="shared" si="9"/>
        <v>17.676810659334851</v>
      </c>
      <c r="AP27" s="54">
        <f t="shared" si="10"/>
        <v>9.8097520224184453</v>
      </c>
      <c r="AQ27" s="54">
        <f t="shared" si="11"/>
        <v>12.253694284354678</v>
      </c>
      <c r="AR27" s="54">
        <f t="shared" si="12"/>
        <v>15.830402368741078</v>
      </c>
      <c r="AS27" s="54">
        <f t="shared" si="13"/>
        <v>28.135071115106015</v>
      </c>
      <c r="AT27" s="54">
        <f t="shared" si="14"/>
        <v>9.7332903294030579</v>
      </c>
      <c r="AU27" s="54">
        <f t="shared" si="15"/>
        <v>26.931507428752713</v>
      </c>
      <c r="AV27" s="54">
        <f t="shared" si="16"/>
        <v>11.307834822608788</v>
      </c>
      <c r="AW27" s="54">
        <f t="shared" si="17"/>
        <v>6.0206503463226362</v>
      </c>
      <c r="AX27" s="54">
        <f t="shared" si="18"/>
        <v>11.092609316343257</v>
      </c>
      <c r="AY27" s="54">
        <f t="shared" si="19"/>
        <v>20.270844392745733</v>
      </c>
      <c r="AZ27" s="54">
        <f t="shared" si="20"/>
        <v>19.922518902342304</v>
      </c>
      <c r="BA27" s="54">
        <f t="shared" si="21"/>
        <v>20.650320943266539</v>
      </c>
      <c r="BB27" s="54">
        <f t="shared" si="22"/>
        <v>5.0691270554644952</v>
      </c>
      <c r="BC27" s="54">
        <f t="shared" si="23"/>
        <v>7.5838671813038658</v>
      </c>
      <c r="BD27" s="54">
        <f t="shared" si="24"/>
        <v>3.6984804102997937</v>
      </c>
    </row>
    <row r="28" spans="1:56" ht="15.75" thickBot="1" x14ac:dyDescent="0.3">
      <c r="A28" s="9">
        <v>20</v>
      </c>
      <c r="B28" s="11">
        <v>1306</v>
      </c>
      <c r="D28" s="30">
        <f t="shared" si="0"/>
        <v>1.3810606461164278E-2</v>
      </c>
      <c r="G28" s="19">
        <v>20</v>
      </c>
      <c r="H28" s="15"/>
      <c r="I28" s="2">
        <v>5.0224959850311279</v>
      </c>
      <c r="J28" s="2">
        <v>37.399846315383911</v>
      </c>
      <c r="K28" s="2"/>
      <c r="L28" s="2">
        <v>53.290086984634399</v>
      </c>
      <c r="M28" s="2"/>
      <c r="N28" s="2">
        <v>52.21598744392395</v>
      </c>
      <c r="O28" s="2"/>
      <c r="P28" s="2"/>
      <c r="Q28" s="2">
        <v>4.8795402050018311</v>
      </c>
      <c r="R28" s="2"/>
      <c r="S28" s="2">
        <v>47.807401418685913</v>
      </c>
      <c r="T28" s="2">
        <v>77.786260843276978</v>
      </c>
      <c r="U28" s="2">
        <v>29.749315977096558</v>
      </c>
      <c r="V28" s="2">
        <v>86.796694993972778</v>
      </c>
      <c r="W28" s="2"/>
      <c r="X28" s="2">
        <v>5.0207674503326416</v>
      </c>
      <c r="Y28" s="2"/>
      <c r="Z28" s="2"/>
      <c r="AA28" s="2">
        <v>0</v>
      </c>
      <c r="AC28" s="39">
        <f t="shared" si="1"/>
        <v>399.96839761734009</v>
      </c>
      <c r="AD28" s="2">
        <f t="shared" si="2"/>
        <v>10</v>
      </c>
      <c r="AF28">
        <v>20</v>
      </c>
      <c r="AG28">
        <f t="shared" si="3"/>
        <v>130.6</v>
      </c>
      <c r="AH28">
        <f t="shared" si="4"/>
        <v>1.3810606461164278E-2</v>
      </c>
      <c r="AJ28" s="19">
        <v>20</v>
      </c>
      <c r="AK28" s="54">
        <f t="shared" si="5"/>
        <v>3.3711690371702008</v>
      </c>
      <c r="AL28" s="54">
        <f t="shared" si="6"/>
        <v>10.371765452334373</v>
      </c>
      <c r="AM28" s="54">
        <f t="shared" si="7"/>
        <v>4.1638978480410298</v>
      </c>
      <c r="AN28" s="54">
        <f t="shared" si="8"/>
        <v>2.4845281023634538</v>
      </c>
      <c r="AO28" s="54">
        <f t="shared" si="9"/>
        <v>8.620580553058744</v>
      </c>
      <c r="AP28" s="54">
        <f t="shared" si="10"/>
        <v>4.7839940781473071</v>
      </c>
      <c r="AQ28" s="54">
        <f t="shared" si="11"/>
        <v>5.9758494157457829</v>
      </c>
      <c r="AR28" s="54">
        <f t="shared" si="12"/>
        <v>7.7201290117908314</v>
      </c>
      <c r="AS28" s="54">
        <f t="shared" si="13"/>
        <v>13.720837519166711</v>
      </c>
      <c r="AT28" s="54">
        <f t="shared" si="14"/>
        <v>4.7467054407021632</v>
      </c>
      <c r="AU28" s="54">
        <f t="shared" si="15"/>
        <v>13.13388674456723</v>
      </c>
      <c r="AV28" s="54">
        <f t="shared" si="16"/>
        <v>5.514575159942896</v>
      </c>
      <c r="AW28" s="54">
        <f t="shared" si="17"/>
        <v>2.9361349336435256</v>
      </c>
      <c r="AX28" s="54">
        <f t="shared" si="18"/>
        <v>5.4096145508380484</v>
      </c>
      <c r="AY28" s="54">
        <f t="shared" si="19"/>
        <v>9.8856321049013918</v>
      </c>
      <c r="AZ28" s="54">
        <f t="shared" si="20"/>
        <v>9.7157616454290689</v>
      </c>
      <c r="BA28" s="54">
        <f t="shared" si="21"/>
        <v>10.070694231480992</v>
      </c>
      <c r="BB28" s="54">
        <f t="shared" si="22"/>
        <v>2.4720985565484055</v>
      </c>
      <c r="BC28" s="54">
        <f t="shared" si="23"/>
        <v>3.6984804102997937</v>
      </c>
      <c r="BD28" s="54">
        <f t="shared" si="24"/>
        <v>1.8036652038280547</v>
      </c>
    </row>
    <row r="29" spans="1:56" x14ac:dyDescent="0.25">
      <c r="A29" s="1" t="s">
        <v>3</v>
      </c>
      <c r="B29" s="31">
        <f>SUM(B9:B28)</f>
        <v>94565</v>
      </c>
      <c r="D29" s="32">
        <f>SUM(D9:D28)</f>
        <v>0.99999999999999978</v>
      </c>
      <c r="AB29" s="31">
        <f>SUM(H9:AA28)</f>
        <v>9463.7015223503113</v>
      </c>
      <c r="AG29">
        <f>SUM(AG9:AG28)</f>
        <v>9456.5</v>
      </c>
    </row>
    <row r="30" spans="1:56" hidden="1" x14ac:dyDescent="0.25">
      <c r="H30" s="2">
        <f>SUM(H9:H28)</f>
        <v>515.76324701309193</v>
      </c>
      <c r="I30" s="2">
        <f t="shared" ref="I30:AA30" si="25">SUM(I9:I28)</f>
        <v>186.71674728393555</v>
      </c>
      <c r="J30" s="2">
        <f t="shared" si="25"/>
        <v>612.24286556243896</v>
      </c>
      <c r="K30" s="2">
        <f t="shared" si="25"/>
        <v>359.85656380653381</v>
      </c>
      <c r="L30" s="2">
        <f t="shared" si="25"/>
        <v>469.10717487335205</v>
      </c>
      <c r="M30" s="2">
        <f t="shared" si="25"/>
        <v>795.43702602386475</v>
      </c>
      <c r="N30" s="2">
        <f t="shared" si="25"/>
        <v>491.1388099193573</v>
      </c>
      <c r="O30" s="2">
        <f t="shared" si="25"/>
        <v>248.16043376922607</v>
      </c>
      <c r="P30" s="2">
        <f t="shared" si="25"/>
        <v>562.15782761573792</v>
      </c>
      <c r="Q30" s="2">
        <f t="shared" si="25"/>
        <v>503.00846099853516</v>
      </c>
      <c r="R30" s="2">
        <f t="shared" si="25"/>
        <v>399.17207956314087</v>
      </c>
      <c r="S30" s="2">
        <f t="shared" si="25"/>
        <v>563.7440025806427</v>
      </c>
      <c r="T30" s="2">
        <f t="shared" si="25"/>
        <v>438.0760133266449</v>
      </c>
      <c r="U30" s="2">
        <f t="shared" si="25"/>
        <v>574.23061728477478</v>
      </c>
      <c r="V30" s="2">
        <f t="shared" si="25"/>
        <v>681.38886690139771</v>
      </c>
      <c r="W30" s="2">
        <f t="shared" si="25"/>
        <v>353.7732720375061</v>
      </c>
      <c r="X30" s="2">
        <f t="shared" si="25"/>
        <v>382.56443738937378</v>
      </c>
      <c r="Y30" s="2">
        <f t="shared" si="25"/>
        <v>382.97121524810791</v>
      </c>
      <c r="Z30" s="2">
        <f t="shared" si="25"/>
        <v>544.22346353530884</v>
      </c>
      <c r="AA30" s="2">
        <f t="shared" si="25"/>
        <v>399.96839761734009</v>
      </c>
      <c r="AC30" s="40">
        <f>COUNTIF(AC9:AC28,0)</f>
        <v>0</v>
      </c>
      <c r="AD30" s="2">
        <f>SUM(AD9:AD28)</f>
        <v>202</v>
      </c>
      <c r="AE30">
        <f>(B35*B35-3*B35+4)/2</f>
        <v>172</v>
      </c>
    </row>
    <row r="32" spans="1:56" ht="15.75" hidden="1" thickBot="1" x14ac:dyDescent="0.3">
      <c r="A32" s="33" t="s">
        <v>13</v>
      </c>
      <c r="B32" s="34">
        <v>0</v>
      </c>
    </row>
    <row r="33" spans="1:45" ht="15.75" hidden="1" thickBot="1" x14ac:dyDescent="0.3">
      <c r="A33" s="33" t="s">
        <v>14</v>
      </c>
      <c r="B33" s="33">
        <v>100</v>
      </c>
    </row>
    <row r="34" spans="1:45" ht="15.75" hidden="1" thickBot="1" x14ac:dyDescent="0.3">
      <c r="A34" s="33" t="s">
        <v>15</v>
      </c>
      <c r="B34" s="33">
        <v>0.5</v>
      </c>
    </row>
    <row r="35" spans="1:45" ht="15.75" hidden="1" thickBot="1" x14ac:dyDescent="0.3">
      <c r="A35" s="35" t="s">
        <v>16</v>
      </c>
      <c r="B35" s="35">
        <v>20</v>
      </c>
    </row>
    <row r="38" spans="1:45" ht="15.75" thickBot="1" x14ac:dyDescent="0.3">
      <c r="H38" t="s">
        <v>31</v>
      </c>
    </row>
    <row r="39" spans="1:45" ht="15.75" thickBot="1" x14ac:dyDescent="0.3">
      <c r="A39" s="36" t="s">
        <v>18</v>
      </c>
      <c r="B39" s="37"/>
      <c r="C39" s="38">
        <v>514</v>
      </c>
      <c r="H39" s="14">
        <v>0</v>
      </c>
      <c r="I39" s="3">
        <v>1000000</v>
      </c>
      <c r="J39" s="3">
        <v>95.66994309425354</v>
      </c>
      <c r="K39" s="3">
        <v>1000000</v>
      </c>
      <c r="L39" s="3">
        <v>1000000</v>
      </c>
      <c r="M39" s="3">
        <v>1000000</v>
      </c>
      <c r="N39" s="3">
        <v>1000000</v>
      </c>
      <c r="O39" s="3">
        <v>1000000</v>
      </c>
      <c r="P39" s="3">
        <v>35.793215036392212</v>
      </c>
      <c r="Q39" s="3">
        <v>63.286548852920532</v>
      </c>
      <c r="R39" s="3">
        <v>36.289221048355103</v>
      </c>
      <c r="S39" s="3">
        <v>14.225059747695923</v>
      </c>
      <c r="T39" s="3">
        <v>1000000</v>
      </c>
      <c r="U39" s="3">
        <v>80.404049158096313</v>
      </c>
      <c r="V39" s="3">
        <v>95.307356119155884</v>
      </c>
      <c r="W39" s="3">
        <v>1000000</v>
      </c>
      <c r="X39" s="3">
        <v>67.110735177993774</v>
      </c>
      <c r="Y39" s="3">
        <v>10.045963525772095</v>
      </c>
      <c r="Z39" s="3">
        <v>17.631155252456665</v>
      </c>
      <c r="AA39" s="3">
        <v>1000000</v>
      </c>
    </row>
    <row r="40" spans="1:45" x14ac:dyDescent="0.25">
      <c r="H40" s="3">
        <v>1000000</v>
      </c>
      <c r="I40" s="2">
        <v>0</v>
      </c>
      <c r="J40" s="2">
        <v>25.85870623588562</v>
      </c>
      <c r="K40" s="3">
        <v>1000000</v>
      </c>
      <c r="L40" s="2">
        <v>7.1110904216766357</v>
      </c>
      <c r="M40" s="2">
        <v>53.128975629806519</v>
      </c>
      <c r="N40" s="2">
        <v>50.723093748092651</v>
      </c>
      <c r="O40" s="3">
        <v>1000000</v>
      </c>
      <c r="P40" s="3">
        <v>1000000</v>
      </c>
      <c r="Q40" s="3">
        <v>1000000</v>
      </c>
      <c r="R40" s="2">
        <v>39.088457822799683</v>
      </c>
      <c r="S40" s="3">
        <v>1000000</v>
      </c>
      <c r="T40" s="2">
        <v>3.3730685710906982</v>
      </c>
      <c r="U40" s="3">
        <v>1000000</v>
      </c>
      <c r="V40" s="3">
        <v>1000000</v>
      </c>
      <c r="W40" s="3">
        <v>1000000</v>
      </c>
      <c r="X40" s="3">
        <v>1000000</v>
      </c>
      <c r="Y40" s="2">
        <v>2.4108588695526123</v>
      </c>
      <c r="Z40" s="3">
        <v>1000000</v>
      </c>
      <c r="AA40" s="2">
        <v>5.0224959850311279</v>
      </c>
    </row>
    <row r="41" spans="1:45" x14ac:dyDescent="0.25">
      <c r="H41" s="15">
        <v>95.66994309425354</v>
      </c>
      <c r="I41" s="2">
        <v>25.85870623588562</v>
      </c>
      <c r="J41" s="2">
        <v>0</v>
      </c>
      <c r="K41" s="3">
        <v>1000000</v>
      </c>
      <c r="L41" s="3">
        <v>1000000</v>
      </c>
      <c r="M41" s="2">
        <v>57.272225618362427</v>
      </c>
      <c r="N41" s="3">
        <v>1000000</v>
      </c>
      <c r="O41" s="3">
        <v>1000000</v>
      </c>
      <c r="P41" s="2">
        <v>74.031859636306763</v>
      </c>
      <c r="Q41" s="3">
        <v>1000000</v>
      </c>
      <c r="R41" s="3">
        <v>1000000</v>
      </c>
      <c r="S41" s="2">
        <v>76.815968751907349</v>
      </c>
      <c r="T41" s="3">
        <v>1000000</v>
      </c>
      <c r="U41" s="2">
        <v>26.767235994338989</v>
      </c>
      <c r="V41" s="3">
        <v>1000000</v>
      </c>
      <c r="W41" s="2">
        <v>74.08788800239563</v>
      </c>
      <c r="X41" s="3">
        <v>1000000</v>
      </c>
      <c r="Y41" s="2">
        <v>81.668549776077271</v>
      </c>
      <c r="Z41" s="2">
        <v>62.670642137527466</v>
      </c>
      <c r="AA41" s="2">
        <v>37.399846315383911</v>
      </c>
    </row>
    <row r="42" spans="1:45" x14ac:dyDescent="0.25">
      <c r="H42" s="3">
        <v>1000000</v>
      </c>
      <c r="I42" s="3">
        <v>1000000</v>
      </c>
      <c r="J42" s="3">
        <v>1000000</v>
      </c>
      <c r="K42" s="2">
        <v>0</v>
      </c>
      <c r="L42" s="2">
        <v>58.836406469345093</v>
      </c>
      <c r="M42" s="3">
        <v>1000000</v>
      </c>
      <c r="N42" s="3">
        <v>1000000</v>
      </c>
      <c r="O42" s="3">
        <v>1000000</v>
      </c>
      <c r="P42" s="3">
        <v>1000000</v>
      </c>
      <c r="Q42" s="2">
        <v>83.668416738510132</v>
      </c>
      <c r="R42" s="2">
        <v>26.73754096031189</v>
      </c>
      <c r="S42" s="2">
        <v>37.960046529769897</v>
      </c>
      <c r="T42" s="3">
        <v>1000000</v>
      </c>
      <c r="U42" s="3">
        <v>1000000</v>
      </c>
      <c r="V42" s="2">
        <v>66.192382574081421</v>
      </c>
      <c r="W42" s="2">
        <v>80.985444784164429</v>
      </c>
      <c r="X42" s="3">
        <v>1000000</v>
      </c>
      <c r="Y42" s="3">
        <v>1000000</v>
      </c>
      <c r="Z42" s="2">
        <v>5.4763257503509521</v>
      </c>
      <c r="AA42" s="3">
        <v>1000000</v>
      </c>
      <c r="AJ42" s="10">
        <v>2441</v>
      </c>
      <c r="AK42" s="11">
        <v>7510</v>
      </c>
      <c r="AL42" s="11">
        <v>3015</v>
      </c>
      <c r="AM42" s="11">
        <v>1799</v>
      </c>
      <c r="AN42" s="11">
        <v>6242</v>
      </c>
      <c r="AO42" s="11">
        <v>3464</v>
      </c>
      <c r="AP42" s="11">
        <v>4327</v>
      </c>
      <c r="AQ42" s="11">
        <v>5590</v>
      </c>
      <c r="AR42" s="11">
        <v>9935</v>
      </c>
      <c r="AS42" s="11">
        <v>3437</v>
      </c>
    </row>
    <row r="43" spans="1:45" x14ac:dyDescent="0.25">
      <c r="H43" s="3">
        <v>1000000</v>
      </c>
      <c r="I43" s="2">
        <v>7.1110904216766357</v>
      </c>
      <c r="J43" s="3">
        <v>1000000</v>
      </c>
      <c r="K43" s="2">
        <v>58.836406469345093</v>
      </c>
      <c r="L43" s="2">
        <v>0</v>
      </c>
      <c r="M43" s="2">
        <v>43.030935525894165</v>
      </c>
      <c r="N43" s="3">
        <v>1000000</v>
      </c>
      <c r="O43" s="2">
        <v>13.869959115982056</v>
      </c>
      <c r="P43" s="2">
        <v>53.490978479385376</v>
      </c>
      <c r="Q43" s="2">
        <v>64.207273721694946</v>
      </c>
      <c r="R43" s="3">
        <v>1000000</v>
      </c>
      <c r="S43" s="3">
        <v>1000000</v>
      </c>
      <c r="T43" s="2">
        <v>62.478595972061157</v>
      </c>
      <c r="U43" s="2">
        <v>4.9392759799957275</v>
      </c>
      <c r="V43" s="2">
        <v>24.989372491836548</v>
      </c>
      <c r="W43" s="2">
        <v>8.6152136325836182</v>
      </c>
      <c r="X43" s="3">
        <v>1000000</v>
      </c>
      <c r="Y43" s="3">
        <v>1000000</v>
      </c>
      <c r="Z43" s="2">
        <v>74.247986078262329</v>
      </c>
      <c r="AA43" s="2">
        <v>53.290086984634399</v>
      </c>
      <c r="AJ43" s="11">
        <v>9510</v>
      </c>
      <c r="AK43" s="11">
        <v>3993</v>
      </c>
      <c r="AL43" s="11">
        <v>2126</v>
      </c>
      <c r="AM43" s="11">
        <v>3917</v>
      </c>
      <c r="AN43" s="11">
        <v>7158</v>
      </c>
      <c r="AO43" s="11">
        <v>7035</v>
      </c>
      <c r="AP43" s="11">
        <v>7292</v>
      </c>
      <c r="AQ43" s="11">
        <v>1790</v>
      </c>
      <c r="AR43" s="11">
        <v>2678</v>
      </c>
      <c r="AS43" s="11">
        <v>1306</v>
      </c>
    </row>
    <row r="44" spans="1:45" x14ac:dyDescent="0.25">
      <c r="H44" s="3">
        <v>1000000</v>
      </c>
      <c r="I44" s="2">
        <v>53.128975629806519</v>
      </c>
      <c r="J44" s="2">
        <v>57.272225618362427</v>
      </c>
      <c r="K44" s="3">
        <v>1000000</v>
      </c>
      <c r="L44" s="2">
        <v>43.030935525894165</v>
      </c>
      <c r="M44" s="2">
        <v>0</v>
      </c>
      <c r="N44" s="3">
        <v>1000000</v>
      </c>
      <c r="O44" s="3">
        <v>1000000</v>
      </c>
      <c r="P44" s="2">
        <v>73.494118452072144</v>
      </c>
      <c r="Q44" s="2">
        <v>80.585306882858276</v>
      </c>
      <c r="R44" s="2">
        <v>71.723431348800659</v>
      </c>
      <c r="S44" s="2">
        <v>64.535444974899292</v>
      </c>
      <c r="T44" s="3">
        <v>1000000</v>
      </c>
      <c r="U44" s="2">
        <v>96.001452207565308</v>
      </c>
      <c r="V44" s="2">
        <v>90.22185206413269</v>
      </c>
      <c r="W44" s="3">
        <v>1000000</v>
      </c>
      <c r="X44" s="2">
        <v>55.022209882736206</v>
      </c>
      <c r="Y44" s="2">
        <v>15.543574094772339</v>
      </c>
      <c r="Z44" s="2">
        <v>94.877499341964722</v>
      </c>
      <c r="AA44" s="3">
        <v>1000000</v>
      </c>
    </row>
    <row r="45" spans="1:45" x14ac:dyDescent="0.25">
      <c r="H45" s="3">
        <v>1000000</v>
      </c>
      <c r="I45" s="2">
        <v>50.723093748092651</v>
      </c>
      <c r="J45" s="3">
        <v>1000000</v>
      </c>
      <c r="K45" s="3">
        <v>1000000</v>
      </c>
      <c r="L45" s="3">
        <v>1000000</v>
      </c>
      <c r="M45" s="3">
        <v>1000000</v>
      </c>
      <c r="N45" s="2">
        <v>0</v>
      </c>
      <c r="O45" s="3">
        <v>1000000</v>
      </c>
      <c r="P45" s="3">
        <v>1000000</v>
      </c>
      <c r="Q45" s="2">
        <v>1.7424881458282471</v>
      </c>
      <c r="R45" s="2">
        <v>83.411389589309692</v>
      </c>
      <c r="S45" s="2">
        <v>45.770293474197388</v>
      </c>
      <c r="T45" s="3">
        <v>1000000</v>
      </c>
      <c r="U45" s="2">
        <v>79.940921068191528</v>
      </c>
      <c r="V45" s="2">
        <v>51.850301027297974</v>
      </c>
      <c r="W45" s="3">
        <v>1000000</v>
      </c>
      <c r="X45" s="2">
        <v>79.780083894729614</v>
      </c>
      <c r="Y45" s="3">
        <v>1000000</v>
      </c>
      <c r="Z45" s="2">
        <v>45.704251527786255</v>
      </c>
      <c r="AA45" s="2">
        <v>52.21598744392395</v>
      </c>
    </row>
    <row r="46" spans="1:45" x14ac:dyDescent="0.25">
      <c r="H46" s="3">
        <v>1000000</v>
      </c>
      <c r="I46" s="3">
        <v>1000000</v>
      </c>
      <c r="J46" s="3">
        <v>1000000</v>
      </c>
      <c r="K46" s="3">
        <v>1000000</v>
      </c>
      <c r="L46" s="2">
        <v>13.869959115982056</v>
      </c>
      <c r="M46" s="3">
        <v>1000000</v>
      </c>
      <c r="N46" s="3">
        <v>1000000</v>
      </c>
      <c r="O46" s="2">
        <v>0</v>
      </c>
      <c r="P46" s="2">
        <v>7.1507394313812256</v>
      </c>
      <c r="Q46" s="2">
        <v>5.9510648250579834</v>
      </c>
      <c r="R46" s="3">
        <v>1000000</v>
      </c>
      <c r="S46" s="2">
        <v>98.490375280380249</v>
      </c>
      <c r="T46" s="3">
        <v>1000000</v>
      </c>
      <c r="U46" s="2">
        <v>64.815086126327515</v>
      </c>
      <c r="V46" s="3">
        <v>1000000</v>
      </c>
      <c r="W46" s="3">
        <v>1000000</v>
      </c>
      <c r="X46" s="3">
        <v>1000000</v>
      </c>
      <c r="Y46" s="2">
        <v>57.883208990097046</v>
      </c>
      <c r="Z46" s="3">
        <v>1000000</v>
      </c>
      <c r="AA46" s="3">
        <v>1000000</v>
      </c>
    </row>
    <row r="47" spans="1:45" x14ac:dyDescent="0.25">
      <c r="H47" s="15">
        <v>35.793215036392212</v>
      </c>
      <c r="I47" s="3">
        <v>1000000</v>
      </c>
      <c r="J47" s="2">
        <v>74.031859636306763</v>
      </c>
      <c r="K47" s="3">
        <v>1000000</v>
      </c>
      <c r="L47" s="2">
        <v>53.490978479385376</v>
      </c>
      <c r="M47" s="2">
        <v>73.494118452072144</v>
      </c>
      <c r="N47" s="3">
        <v>1000000</v>
      </c>
      <c r="O47" s="2">
        <v>7.1507394313812256</v>
      </c>
      <c r="P47" s="2">
        <v>0</v>
      </c>
      <c r="Q47" s="2">
        <v>17.97376275062561</v>
      </c>
      <c r="R47" s="3">
        <v>1000000</v>
      </c>
      <c r="S47" s="2">
        <v>17.429119348526001</v>
      </c>
      <c r="T47" s="2">
        <v>69.478422403335571</v>
      </c>
      <c r="U47" s="3">
        <v>1000000</v>
      </c>
      <c r="V47" s="2">
        <v>44.089418649673462</v>
      </c>
      <c r="W47" s="2">
        <v>27.686268091201782</v>
      </c>
      <c r="X47" s="2">
        <v>52.104955911636353</v>
      </c>
      <c r="Y47" s="2">
        <v>26.769310235977173</v>
      </c>
      <c r="Z47" s="2">
        <v>62.665659189224243</v>
      </c>
      <c r="AA47" s="3">
        <v>1000000</v>
      </c>
    </row>
    <row r="48" spans="1:45" x14ac:dyDescent="0.25">
      <c r="H48" s="15">
        <v>63.286548852920532</v>
      </c>
      <c r="I48" s="3">
        <v>1000000</v>
      </c>
      <c r="J48" s="3">
        <v>1000000</v>
      </c>
      <c r="K48" s="2">
        <v>83.668416738510132</v>
      </c>
      <c r="L48" s="2">
        <v>64.207273721694946</v>
      </c>
      <c r="M48" s="2">
        <v>80.585306882858276</v>
      </c>
      <c r="N48" s="2">
        <v>1.7424881458282471</v>
      </c>
      <c r="O48" s="2">
        <v>5.9510648250579834</v>
      </c>
      <c r="P48" s="2">
        <v>17.97376275062561</v>
      </c>
      <c r="Q48" s="2">
        <v>0</v>
      </c>
      <c r="R48" s="3">
        <v>1000000</v>
      </c>
      <c r="S48" s="3">
        <v>1000000</v>
      </c>
      <c r="T48" s="3">
        <v>1000000</v>
      </c>
      <c r="U48" s="3">
        <v>1000000</v>
      </c>
      <c r="V48" s="2">
        <v>81.751173734664917</v>
      </c>
      <c r="W48" s="2">
        <v>16.6423499584198</v>
      </c>
      <c r="X48" s="2">
        <v>59.555071592330933</v>
      </c>
      <c r="Y48" s="3">
        <v>1000000</v>
      </c>
      <c r="Z48" s="2">
        <v>22.765463590621948</v>
      </c>
      <c r="AA48" s="2">
        <v>4.8795402050018311</v>
      </c>
    </row>
    <row r="49" spans="7:55" x14ac:dyDescent="0.25">
      <c r="H49" s="15">
        <v>36.289221048355103</v>
      </c>
      <c r="I49" s="2">
        <v>39.088457822799683</v>
      </c>
      <c r="J49" s="3">
        <v>1000000</v>
      </c>
      <c r="K49" s="2">
        <v>26.73754096031189</v>
      </c>
      <c r="L49" s="3">
        <v>1000000</v>
      </c>
      <c r="M49" s="2">
        <v>71.723431348800659</v>
      </c>
      <c r="N49" s="2">
        <v>83.411389589309692</v>
      </c>
      <c r="O49" s="3">
        <v>1000000</v>
      </c>
      <c r="P49" s="3">
        <v>1000000</v>
      </c>
      <c r="Q49" s="3">
        <v>1000000</v>
      </c>
      <c r="R49" s="2">
        <v>0</v>
      </c>
      <c r="S49" s="2">
        <v>24.235421419143677</v>
      </c>
      <c r="T49" s="2">
        <v>31.830531358718872</v>
      </c>
      <c r="U49" s="3">
        <v>1000000</v>
      </c>
      <c r="V49" s="3">
        <v>1000000</v>
      </c>
      <c r="W49" s="3">
        <v>1000000</v>
      </c>
      <c r="X49" s="3">
        <v>1000000</v>
      </c>
      <c r="Y49" s="3">
        <v>1000000</v>
      </c>
      <c r="Z49" s="2">
        <v>85.856086015701294</v>
      </c>
      <c r="AA49" s="3">
        <v>1000000</v>
      </c>
      <c r="AJ49" s="14">
        <v>0</v>
      </c>
      <c r="AK49" s="3">
        <v>0</v>
      </c>
      <c r="AL49" s="3">
        <v>95.66994309425354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35.793215036392212</v>
      </c>
      <c r="AS49" s="3">
        <v>63.286548852920532</v>
      </c>
      <c r="AT49" s="3">
        <v>36.289221048355103</v>
      </c>
      <c r="AU49" s="3">
        <v>14.225059747695923</v>
      </c>
      <c r="AV49" s="3">
        <v>0</v>
      </c>
      <c r="AW49" s="3">
        <v>80.404049158096313</v>
      </c>
      <c r="AX49" s="3">
        <v>95.307356119155884</v>
      </c>
      <c r="AY49" s="3">
        <v>0</v>
      </c>
      <c r="AZ49" s="3">
        <v>67.110735177993774</v>
      </c>
      <c r="BA49" s="3">
        <v>10.045963525772095</v>
      </c>
      <c r="BB49" s="3">
        <v>17.631155252456665</v>
      </c>
      <c r="BC49" s="3">
        <v>0</v>
      </c>
    </row>
    <row r="50" spans="7:55" x14ac:dyDescent="0.25">
      <c r="H50" s="15">
        <v>14.225059747695923</v>
      </c>
      <c r="I50" s="3">
        <v>1000000</v>
      </c>
      <c r="J50" s="2">
        <v>76.815968751907349</v>
      </c>
      <c r="K50" s="2">
        <v>37.960046529769897</v>
      </c>
      <c r="L50" s="3">
        <v>1000000</v>
      </c>
      <c r="M50" s="2">
        <v>64.535444974899292</v>
      </c>
      <c r="N50" s="2">
        <v>45.770293474197388</v>
      </c>
      <c r="O50" s="2">
        <v>98.490375280380249</v>
      </c>
      <c r="P50" s="2">
        <v>17.429119348526001</v>
      </c>
      <c r="Q50" s="3">
        <v>1000000</v>
      </c>
      <c r="R50" s="2">
        <v>24.235421419143677</v>
      </c>
      <c r="S50" s="2">
        <v>0</v>
      </c>
      <c r="T50" s="2">
        <v>40.805953741073608</v>
      </c>
      <c r="U50" s="2">
        <v>76.827043294906616</v>
      </c>
      <c r="V50" s="3">
        <v>1000000</v>
      </c>
      <c r="W50" s="2">
        <v>15.438741445541382</v>
      </c>
      <c r="X50" s="3">
        <v>1000000</v>
      </c>
      <c r="Y50" s="3">
        <v>1000000</v>
      </c>
      <c r="Z50" s="2">
        <v>3.4031331539154053</v>
      </c>
      <c r="AA50" s="2">
        <v>47.807401418685913</v>
      </c>
      <c r="AJ50" s="15">
        <v>0</v>
      </c>
      <c r="AK50" s="2">
        <v>0</v>
      </c>
      <c r="AL50" s="2">
        <v>25.85870623588562</v>
      </c>
      <c r="AM50" s="2">
        <v>0</v>
      </c>
      <c r="AN50" s="2">
        <v>7.1110904216766357</v>
      </c>
      <c r="AO50" s="2">
        <v>53.128975629806519</v>
      </c>
      <c r="AP50" s="2">
        <v>50.723093748092651</v>
      </c>
      <c r="AQ50" s="2">
        <v>0</v>
      </c>
      <c r="AR50" s="2">
        <v>0</v>
      </c>
      <c r="AS50" s="2">
        <v>0</v>
      </c>
      <c r="AT50" s="2">
        <v>39.088457822799683</v>
      </c>
      <c r="AU50" s="2">
        <v>0</v>
      </c>
      <c r="AV50" s="2">
        <v>3.3730685710906982</v>
      </c>
      <c r="AW50" s="2">
        <v>0</v>
      </c>
      <c r="AX50" s="2">
        <v>0</v>
      </c>
      <c r="AY50" s="2">
        <v>0</v>
      </c>
      <c r="AZ50" s="2">
        <v>0</v>
      </c>
      <c r="BA50" s="2">
        <v>2.4108588695526123</v>
      </c>
      <c r="BB50" s="2">
        <v>0</v>
      </c>
      <c r="BC50" s="2">
        <v>5.0224959850311279</v>
      </c>
    </row>
    <row r="51" spans="7:55" x14ac:dyDescent="0.25">
      <c r="H51" s="3">
        <v>1000000</v>
      </c>
      <c r="I51" s="2">
        <v>3.3730685710906982</v>
      </c>
      <c r="J51" s="3">
        <v>1000000</v>
      </c>
      <c r="K51" s="3">
        <v>1000000</v>
      </c>
      <c r="L51" s="2">
        <v>62.478595972061157</v>
      </c>
      <c r="M51" s="3">
        <v>1000000</v>
      </c>
      <c r="N51" s="3">
        <v>1000000</v>
      </c>
      <c r="O51" s="3">
        <v>1000000</v>
      </c>
      <c r="P51" s="2">
        <v>69.478422403335571</v>
      </c>
      <c r="Q51" s="3">
        <v>1000000</v>
      </c>
      <c r="R51" s="2">
        <v>31.830531358718872</v>
      </c>
      <c r="S51" s="2">
        <v>40.805953741073608</v>
      </c>
      <c r="T51" s="2">
        <v>0</v>
      </c>
      <c r="U51" s="2">
        <v>57.908350229263306</v>
      </c>
      <c r="V51" s="3">
        <v>1000000</v>
      </c>
      <c r="W51" s="2">
        <v>3.2651960849761963</v>
      </c>
      <c r="X51" s="2">
        <v>3.7291109561920166</v>
      </c>
      <c r="Y51" s="2">
        <v>28.510957956314087</v>
      </c>
      <c r="Z51" s="2">
        <v>58.909565210342407</v>
      </c>
      <c r="AA51" s="2">
        <v>77.786260843276978</v>
      </c>
      <c r="AJ51" s="15">
        <v>95.66994309425354</v>
      </c>
      <c r="AK51" s="2">
        <v>25.85870623588562</v>
      </c>
      <c r="AL51" s="2">
        <v>0</v>
      </c>
      <c r="AM51" s="2">
        <v>0</v>
      </c>
      <c r="AN51" s="2">
        <v>0</v>
      </c>
      <c r="AO51" s="2">
        <v>57.272225618362427</v>
      </c>
      <c r="AP51" s="2">
        <v>0</v>
      </c>
      <c r="AQ51" s="2">
        <v>0</v>
      </c>
      <c r="AR51" s="2">
        <v>74.031859636306763</v>
      </c>
      <c r="AS51" s="2">
        <v>0</v>
      </c>
      <c r="AT51" s="2">
        <v>0</v>
      </c>
      <c r="AU51" s="2">
        <v>76.815968751907349</v>
      </c>
      <c r="AV51" s="2">
        <v>0</v>
      </c>
      <c r="AW51" s="2">
        <v>26.767235994338989</v>
      </c>
      <c r="AX51" s="2">
        <v>0</v>
      </c>
      <c r="AY51" s="2">
        <v>74.08788800239563</v>
      </c>
      <c r="AZ51" s="2">
        <v>0</v>
      </c>
      <c r="BA51" s="2">
        <v>81.668549776077271</v>
      </c>
      <c r="BB51" s="2">
        <v>62.670642137527466</v>
      </c>
      <c r="BC51" s="2">
        <v>37.399846315383911</v>
      </c>
    </row>
    <row r="52" spans="7:55" x14ac:dyDescent="0.25">
      <c r="H52" s="15">
        <v>80.404049158096313</v>
      </c>
      <c r="I52" s="3">
        <v>1000000</v>
      </c>
      <c r="J52" s="2">
        <v>26.767235994338989</v>
      </c>
      <c r="K52" s="3">
        <v>1000000</v>
      </c>
      <c r="L52" s="2">
        <v>4.9392759799957275</v>
      </c>
      <c r="M52" s="2">
        <v>96.001452207565308</v>
      </c>
      <c r="N52" s="2">
        <v>79.940921068191528</v>
      </c>
      <c r="O52" s="2">
        <v>64.815086126327515</v>
      </c>
      <c r="P52" s="3">
        <v>1000000</v>
      </c>
      <c r="Q52" s="3">
        <v>1000000</v>
      </c>
      <c r="R52" s="3">
        <v>1000000</v>
      </c>
      <c r="S52" s="2">
        <v>76.827043294906616</v>
      </c>
      <c r="T52" s="2">
        <v>57.908350229263306</v>
      </c>
      <c r="U52" s="2">
        <v>0</v>
      </c>
      <c r="V52" s="2">
        <v>46.646279096603394</v>
      </c>
      <c r="W52" s="2">
        <v>10.231608152389526</v>
      </c>
      <c r="X52" s="3">
        <v>1000000</v>
      </c>
      <c r="Y52" s="3">
        <v>1000000</v>
      </c>
      <c r="Z52" s="3">
        <v>1000000</v>
      </c>
      <c r="AA52" s="2">
        <v>29.749315977096558</v>
      </c>
      <c r="AJ52" s="15">
        <v>0</v>
      </c>
      <c r="AK52" s="2">
        <v>0</v>
      </c>
      <c r="AL52" s="2">
        <v>0</v>
      </c>
      <c r="AM52" s="2">
        <v>0</v>
      </c>
      <c r="AN52" s="2">
        <v>58.836406469345093</v>
      </c>
      <c r="AO52" s="2">
        <v>0</v>
      </c>
      <c r="AP52" s="2">
        <v>0</v>
      </c>
      <c r="AQ52" s="2">
        <v>0</v>
      </c>
      <c r="AR52" s="2">
        <v>0</v>
      </c>
      <c r="AS52" s="2">
        <v>83.668416738510132</v>
      </c>
      <c r="AT52" s="2">
        <v>26.73754096031189</v>
      </c>
      <c r="AU52" s="2">
        <v>37.960046529769897</v>
      </c>
      <c r="AV52" s="2">
        <v>0</v>
      </c>
      <c r="AW52" s="2">
        <v>0</v>
      </c>
      <c r="AX52" s="2">
        <v>66.192382574081421</v>
      </c>
      <c r="AY52" s="2">
        <v>80.985444784164429</v>
      </c>
      <c r="AZ52" s="2">
        <v>0</v>
      </c>
      <c r="BA52" s="2">
        <v>0</v>
      </c>
      <c r="BB52" s="2">
        <v>5.4763257503509521</v>
      </c>
      <c r="BC52" s="2">
        <v>0</v>
      </c>
    </row>
    <row r="53" spans="7:55" x14ac:dyDescent="0.25">
      <c r="H53" s="15">
        <v>95.307356119155884</v>
      </c>
      <c r="I53" s="3">
        <v>1000000</v>
      </c>
      <c r="J53" s="3">
        <v>1000000</v>
      </c>
      <c r="K53" s="2">
        <v>66.192382574081421</v>
      </c>
      <c r="L53" s="2">
        <v>24.989372491836548</v>
      </c>
      <c r="M53" s="2">
        <v>90.22185206413269</v>
      </c>
      <c r="N53" s="2">
        <v>51.850301027297974</v>
      </c>
      <c r="O53" s="3">
        <v>1000000</v>
      </c>
      <c r="P53" s="2">
        <v>44.089418649673462</v>
      </c>
      <c r="Q53" s="2">
        <v>81.751173734664917</v>
      </c>
      <c r="R53" s="3">
        <v>1000000</v>
      </c>
      <c r="S53" s="3">
        <v>1000000</v>
      </c>
      <c r="T53" s="3">
        <v>1000000</v>
      </c>
      <c r="U53" s="2">
        <v>46.646279096603394</v>
      </c>
      <c r="V53" s="2">
        <v>0</v>
      </c>
      <c r="W53" s="3">
        <v>1000000</v>
      </c>
      <c r="X53" s="3">
        <v>1000000</v>
      </c>
      <c r="Y53" s="2">
        <v>93.544036149978638</v>
      </c>
      <c r="Z53" s="3">
        <v>1000000</v>
      </c>
      <c r="AA53" s="2">
        <v>86.796694993972778</v>
      </c>
      <c r="AJ53" s="15">
        <v>0</v>
      </c>
      <c r="AK53" s="2">
        <v>7.1110904216766357</v>
      </c>
      <c r="AL53" s="2">
        <v>0</v>
      </c>
      <c r="AM53" s="2">
        <v>58.836406469345093</v>
      </c>
      <c r="AN53" s="2">
        <v>0</v>
      </c>
      <c r="AO53" s="2">
        <v>43.030935525894165</v>
      </c>
      <c r="AP53" s="2">
        <v>0</v>
      </c>
      <c r="AQ53" s="2">
        <v>13.869959115982056</v>
      </c>
      <c r="AR53" s="2">
        <v>53.490978479385376</v>
      </c>
      <c r="AS53" s="2">
        <v>64.207273721694946</v>
      </c>
      <c r="AT53" s="2">
        <v>0</v>
      </c>
      <c r="AU53" s="2">
        <v>0</v>
      </c>
      <c r="AV53" s="2">
        <v>62.478595972061157</v>
      </c>
      <c r="AW53" s="2">
        <v>4.9392759799957275</v>
      </c>
      <c r="AX53" s="2">
        <v>24.989372491836548</v>
      </c>
      <c r="AY53" s="2">
        <v>8.6152136325836182</v>
      </c>
      <c r="AZ53" s="2">
        <v>0</v>
      </c>
      <c r="BA53" s="2">
        <v>0</v>
      </c>
      <c r="BB53" s="2">
        <v>74.247986078262329</v>
      </c>
      <c r="BC53" s="2">
        <v>53.290086984634399</v>
      </c>
    </row>
    <row r="54" spans="7:55" x14ac:dyDescent="0.25">
      <c r="H54" s="3">
        <v>1000000</v>
      </c>
      <c r="I54" s="3">
        <v>1000000</v>
      </c>
      <c r="J54" s="2">
        <v>74.08788800239563</v>
      </c>
      <c r="K54" s="2">
        <v>80.985444784164429</v>
      </c>
      <c r="L54" s="2">
        <v>8.6152136325836182</v>
      </c>
      <c r="M54" s="3">
        <v>1000000</v>
      </c>
      <c r="N54" s="3">
        <v>1000000</v>
      </c>
      <c r="O54" s="3">
        <v>1000000</v>
      </c>
      <c r="P54" s="2">
        <v>27.686268091201782</v>
      </c>
      <c r="Q54" s="2">
        <v>16.6423499584198</v>
      </c>
      <c r="R54" s="3">
        <v>1000000</v>
      </c>
      <c r="S54" s="2">
        <v>15.438741445541382</v>
      </c>
      <c r="T54" s="2">
        <v>3.2651960849761963</v>
      </c>
      <c r="U54" s="2">
        <v>10.231608152389526</v>
      </c>
      <c r="V54" s="3">
        <v>1000000</v>
      </c>
      <c r="W54" s="2">
        <v>0</v>
      </c>
      <c r="X54" s="2">
        <v>60.241502523422241</v>
      </c>
      <c r="Y54" s="2">
        <v>56.579059362411499</v>
      </c>
      <c r="Z54" s="3">
        <v>1000000</v>
      </c>
      <c r="AA54" s="3">
        <v>1000000</v>
      </c>
      <c r="AJ54" s="15">
        <v>0</v>
      </c>
      <c r="AK54" s="2">
        <v>53.128975629806519</v>
      </c>
      <c r="AL54" s="2">
        <v>57.272225618362427</v>
      </c>
      <c r="AM54" s="2">
        <v>0</v>
      </c>
      <c r="AN54" s="2">
        <v>43.030935525894165</v>
      </c>
      <c r="AO54" s="2">
        <v>0</v>
      </c>
      <c r="AP54" s="2">
        <v>0</v>
      </c>
      <c r="AQ54" s="2">
        <v>0</v>
      </c>
      <c r="AR54" s="2">
        <v>73.494118452072144</v>
      </c>
      <c r="AS54" s="2">
        <v>80.585306882858276</v>
      </c>
      <c r="AT54" s="2">
        <v>71.723431348800659</v>
      </c>
      <c r="AU54" s="2">
        <v>64.535444974899292</v>
      </c>
      <c r="AV54" s="2">
        <v>0</v>
      </c>
      <c r="AW54" s="2">
        <v>96.001452207565308</v>
      </c>
      <c r="AX54" s="2">
        <v>90.22185206413269</v>
      </c>
      <c r="AY54" s="2">
        <v>0</v>
      </c>
      <c r="AZ54" s="2">
        <v>55.022209882736206</v>
      </c>
      <c r="BA54" s="2">
        <v>15.543574094772339</v>
      </c>
      <c r="BB54" s="2">
        <v>94.877499341964722</v>
      </c>
      <c r="BC54" s="2">
        <v>0</v>
      </c>
    </row>
    <row r="55" spans="7:55" x14ac:dyDescent="0.25">
      <c r="H55" s="15">
        <v>67.110735177993774</v>
      </c>
      <c r="I55" s="3">
        <v>1000000</v>
      </c>
      <c r="J55" s="3">
        <v>1000000</v>
      </c>
      <c r="K55" s="3">
        <v>1000000</v>
      </c>
      <c r="L55" s="3">
        <v>1000000</v>
      </c>
      <c r="M55" s="2">
        <v>55.022209882736206</v>
      </c>
      <c r="N55" s="2">
        <v>79.780083894729614</v>
      </c>
      <c r="O55" s="3">
        <v>1000000</v>
      </c>
      <c r="P55" s="2">
        <v>52.104955911636353</v>
      </c>
      <c r="Q55" s="2">
        <v>59.555071592330933</v>
      </c>
      <c r="R55" s="3">
        <v>1000000</v>
      </c>
      <c r="S55" s="3">
        <v>1000000</v>
      </c>
      <c r="T55" s="2">
        <v>3.7291109561920166</v>
      </c>
      <c r="U55" s="3">
        <v>1000000</v>
      </c>
      <c r="V55" s="3">
        <v>1000000</v>
      </c>
      <c r="W55" s="2">
        <v>60.241502523422241</v>
      </c>
      <c r="X55" s="2">
        <v>0</v>
      </c>
      <c r="Y55" s="3">
        <v>1000000</v>
      </c>
      <c r="Z55" s="3">
        <v>1000000</v>
      </c>
      <c r="AA55" s="2">
        <v>5.0207674503326416</v>
      </c>
      <c r="AJ55" s="15">
        <v>0</v>
      </c>
      <c r="AK55" s="2">
        <v>50.723093748092651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1.7424881458282471</v>
      </c>
      <c r="AT55" s="2">
        <v>83.411389589309692</v>
      </c>
      <c r="AU55" s="2">
        <v>45.770293474197388</v>
      </c>
      <c r="AV55" s="2">
        <v>0</v>
      </c>
      <c r="AW55" s="2">
        <v>79.940921068191528</v>
      </c>
      <c r="AX55" s="2">
        <v>51.850301027297974</v>
      </c>
      <c r="AY55" s="2">
        <v>0</v>
      </c>
      <c r="AZ55" s="2">
        <v>79.780083894729614</v>
      </c>
      <c r="BA55" s="2">
        <v>0</v>
      </c>
      <c r="BB55" s="2">
        <v>45.704251527786255</v>
      </c>
      <c r="BC55" s="2">
        <v>52.21598744392395</v>
      </c>
    </row>
    <row r="56" spans="7:55" x14ac:dyDescent="0.25">
      <c r="H56" s="15">
        <v>10.045963525772095</v>
      </c>
      <c r="I56" s="2">
        <v>2.4108588695526123</v>
      </c>
      <c r="J56" s="2">
        <v>81.668549776077271</v>
      </c>
      <c r="K56" s="3">
        <v>1000000</v>
      </c>
      <c r="L56" s="3">
        <v>1000000</v>
      </c>
      <c r="M56" s="2">
        <v>15.543574094772339</v>
      </c>
      <c r="N56" s="3">
        <v>1000000</v>
      </c>
      <c r="O56" s="2">
        <v>57.883208990097046</v>
      </c>
      <c r="P56" s="2">
        <v>26.769310235977173</v>
      </c>
      <c r="Q56" s="3">
        <v>1000000</v>
      </c>
      <c r="R56" s="3">
        <v>1000000</v>
      </c>
      <c r="S56" s="3">
        <v>1000000</v>
      </c>
      <c r="T56" s="2">
        <v>28.510957956314087</v>
      </c>
      <c r="U56" s="3">
        <v>1000000</v>
      </c>
      <c r="V56" s="2">
        <v>93.544036149978638</v>
      </c>
      <c r="W56" s="2">
        <v>56.579059362411499</v>
      </c>
      <c r="X56" s="3">
        <v>1000000</v>
      </c>
      <c r="Y56" s="2">
        <v>0</v>
      </c>
      <c r="Z56" s="2">
        <v>10.015696287155151</v>
      </c>
      <c r="AA56" s="3">
        <v>1000000</v>
      </c>
      <c r="AJ56" s="15">
        <v>0</v>
      </c>
      <c r="AK56" s="2">
        <v>0</v>
      </c>
      <c r="AL56" s="2">
        <v>0</v>
      </c>
      <c r="AM56" s="2">
        <v>0</v>
      </c>
      <c r="AN56" s="2">
        <v>13.869959115982056</v>
      </c>
      <c r="AO56" s="2">
        <v>0</v>
      </c>
      <c r="AP56" s="2">
        <v>0</v>
      </c>
      <c r="AQ56" s="2">
        <v>0</v>
      </c>
      <c r="AR56" s="2">
        <v>7.1507394313812256</v>
      </c>
      <c r="AS56" s="2">
        <v>5.9510648250579834</v>
      </c>
      <c r="AT56" s="2">
        <v>0</v>
      </c>
      <c r="AU56" s="2">
        <v>98.490375280380249</v>
      </c>
      <c r="AV56" s="2">
        <v>0</v>
      </c>
      <c r="AW56" s="2">
        <v>64.815086126327515</v>
      </c>
      <c r="AX56" s="2">
        <v>0</v>
      </c>
      <c r="AY56" s="2">
        <v>0</v>
      </c>
      <c r="AZ56" s="2">
        <v>0</v>
      </c>
      <c r="BA56" s="2">
        <v>57.883208990097046</v>
      </c>
      <c r="BB56" s="2">
        <v>0</v>
      </c>
      <c r="BC56" s="2">
        <v>0</v>
      </c>
    </row>
    <row r="57" spans="7:55" x14ac:dyDescent="0.25">
      <c r="H57" s="15">
        <v>17.631155252456665</v>
      </c>
      <c r="I57" s="3">
        <v>1000000</v>
      </c>
      <c r="J57" s="2">
        <v>62.670642137527466</v>
      </c>
      <c r="K57" s="2">
        <v>5.4763257503509521</v>
      </c>
      <c r="L57" s="2">
        <v>74.247986078262329</v>
      </c>
      <c r="M57" s="2">
        <v>94.877499341964722</v>
      </c>
      <c r="N57" s="2">
        <v>45.704251527786255</v>
      </c>
      <c r="O57" s="3">
        <v>1000000</v>
      </c>
      <c r="P57" s="2">
        <v>62.665659189224243</v>
      </c>
      <c r="Q57" s="2">
        <v>22.765463590621948</v>
      </c>
      <c r="R57" s="2">
        <v>85.856086015701294</v>
      </c>
      <c r="S57" s="2">
        <v>3.4031331539154053</v>
      </c>
      <c r="T57" s="2">
        <v>58.909565210342407</v>
      </c>
      <c r="U57" s="3">
        <v>1000000</v>
      </c>
      <c r="V57" s="3">
        <v>1000000</v>
      </c>
      <c r="W57" s="3">
        <v>1000000</v>
      </c>
      <c r="X57" s="3">
        <v>1000000</v>
      </c>
      <c r="Y57" s="2">
        <v>10.015696287155151</v>
      </c>
      <c r="Z57" s="2">
        <v>0</v>
      </c>
      <c r="AA57" s="3">
        <v>1000000</v>
      </c>
      <c r="AJ57" s="15">
        <v>35.793215036392212</v>
      </c>
      <c r="AK57" s="2">
        <v>0</v>
      </c>
      <c r="AL57" s="2">
        <v>74.031859636306763</v>
      </c>
      <c r="AM57" s="2">
        <v>0</v>
      </c>
      <c r="AN57" s="2">
        <v>53.490978479385376</v>
      </c>
      <c r="AO57" s="2">
        <v>73.494118452072144</v>
      </c>
      <c r="AP57" s="2">
        <v>0</v>
      </c>
      <c r="AQ57" s="2">
        <v>7.1507394313812256</v>
      </c>
      <c r="AR57" s="2">
        <v>0</v>
      </c>
      <c r="AS57" s="2">
        <v>17.97376275062561</v>
      </c>
      <c r="AT57" s="2">
        <v>0</v>
      </c>
      <c r="AU57" s="2">
        <v>17.429119348526001</v>
      </c>
      <c r="AV57" s="2">
        <v>69.478422403335571</v>
      </c>
      <c r="AW57" s="2">
        <v>0</v>
      </c>
      <c r="AX57" s="2">
        <v>44.089418649673462</v>
      </c>
      <c r="AY57" s="2">
        <v>27.686268091201782</v>
      </c>
      <c r="AZ57" s="2">
        <v>52.104955911636353</v>
      </c>
      <c r="BA57" s="2">
        <v>26.769310235977173</v>
      </c>
      <c r="BB57" s="2">
        <v>62.665659189224243</v>
      </c>
      <c r="BC57" s="2">
        <v>0</v>
      </c>
    </row>
    <row r="58" spans="7:55" x14ac:dyDescent="0.25">
      <c r="H58" s="3">
        <v>1000000</v>
      </c>
      <c r="I58" s="2">
        <v>5.0224959850311279</v>
      </c>
      <c r="J58" s="2">
        <v>37.399846315383911</v>
      </c>
      <c r="K58" s="3">
        <v>1000000</v>
      </c>
      <c r="L58" s="2">
        <v>53.290086984634399</v>
      </c>
      <c r="M58" s="3">
        <v>1000000</v>
      </c>
      <c r="N58" s="2">
        <v>52.21598744392395</v>
      </c>
      <c r="O58" s="3">
        <v>1000000</v>
      </c>
      <c r="P58" s="3">
        <v>1000000</v>
      </c>
      <c r="Q58" s="2">
        <v>4.8795402050018311</v>
      </c>
      <c r="R58" s="3">
        <v>1000000</v>
      </c>
      <c r="S58" s="2">
        <v>47.807401418685913</v>
      </c>
      <c r="T58" s="2">
        <v>77.786260843276978</v>
      </c>
      <c r="U58" s="2">
        <v>29.749315977096558</v>
      </c>
      <c r="V58" s="2">
        <v>86.796694993972778</v>
      </c>
      <c r="W58" s="3">
        <v>1000000</v>
      </c>
      <c r="X58" s="2">
        <v>5.0207674503326416</v>
      </c>
      <c r="Y58" s="3">
        <v>1000000</v>
      </c>
      <c r="Z58" s="3">
        <v>1000000</v>
      </c>
      <c r="AA58" s="2">
        <v>0</v>
      </c>
      <c r="AJ58" s="15">
        <v>63.286548852920532</v>
      </c>
      <c r="AK58" s="2">
        <v>0</v>
      </c>
      <c r="AL58" s="2">
        <v>0</v>
      </c>
      <c r="AM58" s="2">
        <v>83.668416738510132</v>
      </c>
      <c r="AN58" s="2">
        <v>64.207273721694946</v>
      </c>
      <c r="AO58" s="2">
        <v>80.585306882858276</v>
      </c>
      <c r="AP58" s="2">
        <v>1.7424881458282471</v>
      </c>
      <c r="AQ58" s="2">
        <v>5.9510648250579834</v>
      </c>
      <c r="AR58" s="2">
        <v>17.97376275062561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81.751173734664917</v>
      </c>
      <c r="AY58" s="2">
        <v>16.6423499584198</v>
      </c>
      <c r="AZ58" s="2">
        <v>59.555071592330933</v>
      </c>
      <c r="BA58" s="2">
        <v>0</v>
      </c>
      <c r="BB58" s="2">
        <v>22.765463590621948</v>
      </c>
      <c r="BC58" s="2">
        <v>4.8795402050018311</v>
      </c>
    </row>
    <row r="59" spans="7:55" ht="15.75" thickBot="1" x14ac:dyDescent="0.3">
      <c r="H59" s="1" t="s">
        <v>32</v>
      </c>
      <c r="AJ59" s="15">
        <v>36.289221048355103</v>
      </c>
      <c r="AK59" s="2">
        <v>39.088457822799683</v>
      </c>
      <c r="AL59" s="2">
        <v>0</v>
      </c>
      <c r="AM59" s="2">
        <v>26.73754096031189</v>
      </c>
      <c r="AN59" s="2">
        <v>0</v>
      </c>
      <c r="AO59" s="2">
        <v>71.723431348800659</v>
      </c>
      <c r="AP59" s="2">
        <v>83.411389589309692</v>
      </c>
      <c r="AQ59" s="2">
        <v>0</v>
      </c>
      <c r="AR59" s="2">
        <v>0</v>
      </c>
      <c r="AS59" s="2">
        <v>0</v>
      </c>
      <c r="AT59" s="2">
        <v>0</v>
      </c>
      <c r="AU59" s="2">
        <v>24.235421419143677</v>
      </c>
      <c r="AV59" s="2">
        <v>31.830531358718872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85.856086015701294</v>
      </c>
      <c r="BC59" s="2">
        <v>0</v>
      </c>
    </row>
    <row r="60" spans="7:55" ht="15.75" thickBot="1" x14ac:dyDescent="0.3">
      <c r="H60" s="16">
        <v>1</v>
      </c>
      <c r="I60" s="20">
        <v>2</v>
      </c>
      <c r="J60" s="21">
        <v>3</v>
      </c>
      <c r="K60" s="21">
        <v>4</v>
      </c>
      <c r="L60" s="21">
        <v>5</v>
      </c>
      <c r="M60" s="21">
        <v>6</v>
      </c>
      <c r="N60" s="21">
        <v>7</v>
      </c>
      <c r="O60" s="21">
        <v>8</v>
      </c>
      <c r="P60" s="21">
        <v>9</v>
      </c>
      <c r="Q60" s="21">
        <v>10</v>
      </c>
      <c r="R60" s="21">
        <v>11</v>
      </c>
      <c r="S60" s="21">
        <v>12</v>
      </c>
      <c r="T60" s="21">
        <v>13</v>
      </c>
      <c r="U60" s="21">
        <v>14</v>
      </c>
      <c r="V60" s="21">
        <v>15</v>
      </c>
      <c r="W60" s="21">
        <v>16</v>
      </c>
      <c r="X60" s="21">
        <v>17</v>
      </c>
      <c r="Y60" s="21">
        <v>18</v>
      </c>
      <c r="Z60" s="21">
        <v>19</v>
      </c>
      <c r="AA60" s="22">
        <v>20</v>
      </c>
      <c r="AJ60" s="15">
        <v>14.225059747695923</v>
      </c>
      <c r="AK60" s="2">
        <v>0</v>
      </c>
      <c r="AL60" s="2">
        <v>76.815968751907349</v>
      </c>
      <c r="AM60" s="2">
        <v>37.960046529769897</v>
      </c>
      <c r="AN60" s="2">
        <v>0</v>
      </c>
      <c r="AO60" s="2">
        <v>64.535444974899292</v>
      </c>
      <c r="AP60" s="2">
        <v>45.770293474197388</v>
      </c>
      <c r="AQ60" s="2">
        <v>98.490375280380249</v>
      </c>
      <c r="AR60" s="2">
        <v>17.429119348526001</v>
      </c>
      <c r="AS60" s="2">
        <v>0</v>
      </c>
      <c r="AT60" s="2">
        <v>24.235421419143677</v>
      </c>
      <c r="AU60" s="2">
        <v>0</v>
      </c>
      <c r="AV60" s="2">
        <v>40.805953741073608</v>
      </c>
      <c r="AW60" s="2">
        <v>76.827043294906616</v>
      </c>
      <c r="AX60" s="2">
        <v>0</v>
      </c>
      <c r="AY60" s="2">
        <v>15.438741445541382</v>
      </c>
      <c r="AZ60" s="2">
        <v>0</v>
      </c>
      <c r="BA60" s="2">
        <v>0</v>
      </c>
      <c r="BB60" s="2">
        <v>3.4031331539154053</v>
      </c>
      <c r="BC60" s="2">
        <v>47.807401418685913</v>
      </c>
    </row>
    <row r="61" spans="7:55" x14ac:dyDescent="0.25">
      <c r="G61" s="23">
        <v>1</v>
      </c>
      <c r="H61">
        <v>0</v>
      </c>
      <c r="I61">
        <v>12.456799999999999</v>
      </c>
      <c r="J61">
        <v>38.3155</v>
      </c>
      <c r="K61">
        <v>23.104500000000002</v>
      </c>
      <c r="L61">
        <v>19.567900000000002</v>
      </c>
      <c r="M61">
        <v>25.589500000000001</v>
      </c>
      <c r="N61">
        <v>24.101299999999998</v>
      </c>
      <c r="O61">
        <v>28.309899999999999</v>
      </c>
      <c r="P61">
        <v>31.654199999999999</v>
      </c>
      <c r="Q61">
        <v>22.358899999999998</v>
      </c>
      <c r="R61">
        <v>36.289200000000001</v>
      </c>
      <c r="S61">
        <v>14.225099999999999</v>
      </c>
      <c r="T61">
        <v>15.8299</v>
      </c>
      <c r="U61">
        <v>24.507200000000001</v>
      </c>
      <c r="V61">
        <v>44.557299999999998</v>
      </c>
      <c r="W61">
        <v>19.095099999999999</v>
      </c>
      <c r="X61">
        <v>19.559000000000001</v>
      </c>
      <c r="Y61">
        <v>10.045999999999999</v>
      </c>
      <c r="Z61">
        <v>17.6282</v>
      </c>
      <c r="AA61">
        <v>17.479299999999999</v>
      </c>
      <c r="AJ61" s="15">
        <v>0</v>
      </c>
      <c r="AK61" s="2">
        <v>3.3730685710906982</v>
      </c>
      <c r="AL61" s="2">
        <v>0</v>
      </c>
      <c r="AM61" s="2">
        <v>0</v>
      </c>
      <c r="AN61" s="2">
        <v>62.478595972061157</v>
      </c>
      <c r="AO61" s="2">
        <v>0</v>
      </c>
      <c r="AP61" s="2">
        <v>0</v>
      </c>
      <c r="AQ61" s="2">
        <v>0</v>
      </c>
      <c r="AR61" s="2">
        <v>69.478422403335571</v>
      </c>
      <c r="AS61" s="2">
        <v>0</v>
      </c>
      <c r="AT61" s="2">
        <v>31.830531358718872</v>
      </c>
      <c r="AU61" s="2">
        <v>40.805953741073608</v>
      </c>
      <c r="AV61" s="2">
        <v>0</v>
      </c>
      <c r="AW61" s="2">
        <v>57.908350229263306</v>
      </c>
      <c r="AX61" s="2">
        <v>0</v>
      </c>
      <c r="AY61" s="2">
        <v>3.2651960849761963</v>
      </c>
      <c r="AZ61" s="2">
        <v>3.7291109561920166</v>
      </c>
      <c r="BA61" s="2">
        <v>28.510957956314087</v>
      </c>
      <c r="BB61" s="2">
        <v>58.909565210342407</v>
      </c>
      <c r="BC61" s="2">
        <v>77.786260843276978</v>
      </c>
    </row>
    <row r="62" spans="7:55" x14ac:dyDescent="0.25">
      <c r="G62" s="17">
        <v>2</v>
      </c>
      <c r="H62">
        <v>12.456799999999999</v>
      </c>
      <c r="I62">
        <v>0</v>
      </c>
      <c r="J62">
        <v>25.858699999999999</v>
      </c>
      <c r="K62">
        <v>17.902899999999999</v>
      </c>
      <c r="L62">
        <v>7.1110899999999999</v>
      </c>
      <c r="M62">
        <v>17.9544</v>
      </c>
      <c r="N62">
        <v>11.644500000000001</v>
      </c>
      <c r="O62">
        <v>15.8531</v>
      </c>
      <c r="P62">
        <v>23.003799999999998</v>
      </c>
      <c r="Q62">
        <v>9.9020399999999995</v>
      </c>
      <c r="R62">
        <v>35.203600000000002</v>
      </c>
      <c r="S62">
        <v>15.829700000000001</v>
      </c>
      <c r="T62">
        <v>3.3730699999999998</v>
      </c>
      <c r="U62">
        <v>12.0504</v>
      </c>
      <c r="V62">
        <v>32.100499999999997</v>
      </c>
      <c r="W62">
        <v>6.6382599999999998</v>
      </c>
      <c r="X62">
        <v>7.1021799999999997</v>
      </c>
      <c r="Y62">
        <v>2.41086</v>
      </c>
      <c r="Z62">
        <v>12.426600000000001</v>
      </c>
      <c r="AA62">
        <v>5.0225</v>
      </c>
      <c r="AJ62" s="15">
        <v>80.404049158096313</v>
      </c>
      <c r="AK62" s="2">
        <v>0</v>
      </c>
      <c r="AL62" s="2">
        <v>26.767235994338989</v>
      </c>
      <c r="AM62" s="2">
        <v>0</v>
      </c>
      <c r="AN62" s="2">
        <v>4.9392759799957275</v>
      </c>
      <c r="AO62" s="2">
        <v>96.001452207565308</v>
      </c>
      <c r="AP62" s="2">
        <v>79.940921068191528</v>
      </c>
      <c r="AQ62" s="2">
        <v>64.815086126327515</v>
      </c>
      <c r="AR62" s="2">
        <v>0</v>
      </c>
      <c r="AS62" s="2">
        <v>0</v>
      </c>
      <c r="AT62" s="2">
        <v>0</v>
      </c>
      <c r="AU62" s="2">
        <v>76.827043294906616</v>
      </c>
      <c r="AV62" s="2">
        <v>57.908350229263306</v>
      </c>
      <c r="AW62" s="2">
        <v>0</v>
      </c>
      <c r="AX62" s="2">
        <v>46.646279096603394</v>
      </c>
      <c r="AY62" s="2">
        <v>10.231608152389526</v>
      </c>
      <c r="AZ62" s="2">
        <v>0</v>
      </c>
      <c r="BA62" s="2">
        <v>0</v>
      </c>
      <c r="BB62" s="2">
        <v>0</v>
      </c>
      <c r="BC62" s="2">
        <v>29.749315977096558</v>
      </c>
    </row>
    <row r="63" spans="7:55" x14ac:dyDescent="0.25">
      <c r="G63" s="18">
        <v>3</v>
      </c>
      <c r="H63">
        <v>38.3155</v>
      </c>
      <c r="I63">
        <v>25.858699999999999</v>
      </c>
      <c r="J63">
        <v>0</v>
      </c>
      <c r="K63">
        <v>43.761600000000001</v>
      </c>
      <c r="L63">
        <v>31.706499999999998</v>
      </c>
      <c r="M63">
        <v>43.813099999999999</v>
      </c>
      <c r="N63">
        <v>37.5032</v>
      </c>
      <c r="O63">
        <v>41.711799999999997</v>
      </c>
      <c r="P63">
        <v>48.862499999999997</v>
      </c>
      <c r="Q63">
        <v>35.7607</v>
      </c>
      <c r="R63">
        <v>61.0623</v>
      </c>
      <c r="S63">
        <v>41.688400000000001</v>
      </c>
      <c r="T63">
        <v>29.2318</v>
      </c>
      <c r="U63">
        <v>26.767199999999999</v>
      </c>
      <c r="V63">
        <v>56.695900000000002</v>
      </c>
      <c r="W63">
        <v>32.497</v>
      </c>
      <c r="X63">
        <v>32.960900000000002</v>
      </c>
      <c r="Y63">
        <v>28.269600000000001</v>
      </c>
      <c r="Z63">
        <v>38.285299999999999</v>
      </c>
      <c r="AA63">
        <v>30.8812</v>
      </c>
      <c r="AJ63" s="15">
        <v>95.307356119155884</v>
      </c>
      <c r="AK63" s="2">
        <v>0</v>
      </c>
      <c r="AL63" s="2">
        <v>0</v>
      </c>
      <c r="AM63" s="2">
        <v>66.192382574081421</v>
      </c>
      <c r="AN63" s="2">
        <v>24.989372491836548</v>
      </c>
      <c r="AO63" s="2">
        <v>90.22185206413269</v>
      </c>
      <c r="AP63" s="2">
        <v>51.850301027297974</v>
      </c>
      <c r="AQ63" s="2">
        <v>0</v>
      </c>
      <c r="AR63" s="2">
        <v>44.089418649673462</v>
      </c>
      <c r="AS63" s="2">
        <v>81.751173734664917</v>
      </c>
      <c r="AT63" s="2">
        <v>0</v>
      </c>
      <c r="AU63" s="2">
        <v>0</v>
      </c>
      <c r="AV63" s="2">
        <v>0</v>
      </c>
      <c r="AW63" s="2">
        <v>46.646279096603394</v>
      </c>
      <c r="AX63" s="2">
        <v>0</v>
      </c>
      <c r="AY63" s="2">
        <v>0</v>
      </c>
      <c r="AZ63" s="2">
        <v>0</v>
      </c>
      <c r="BA63" s="2">
        <v>93.544036149978638</v>
      </c>
      <c r="BB63" s="2">
        <v>0</v>
      </c>
      <c r="BC63" s="2">
        <v>86.796694993972778</v>
      </c>
    </row>
    <row r="64" spans="7:55" x14ac:dyDescent="0.25">
      <c r="G64" s="18">
        <v>4</v>
      </c>
      <c r="H64">
        <v>23.104500000000002</v>
      </c>
      <c r="I64">
        <v>17.902899999999999</v>
      </c>
      <c r="J64">
        <v>43.761600000000001</v>
      </c>
      <c r="K64">
        <v>0</v>
      </c>
      <c r="L64">
        <v>25.013999999999999</v>
      </c>
      <c r="M64">
        <v>31.035599999999999</v>
      </c>
      <c r="N64">
        <v>29.5474</v>
      </c>
      <c r="O64">
        <v>33.459299999999999</v>
      </c>
      <c r="P64">
        <v>26.308599999999998</v>
      </c>
      <c r="Q64">
        <v>27.8049</v>
      </c>
      <c r="R64">
        <v>26.737500000000001</v>
      </c>
      <c r="S64">
        <v>8.8794599999999999</v>
      </c>
      <c r="T64">
        <v>21.2759</v>
      </c>
      <c r="U64">
        <v>29.953199999999999</v>
      </c>
      <c r="V64">
        <v>50.003300000000003</v>
      </c>
      <c r="W64">
        <v>24.318200000000001</v>
      </c>
      <c r="X64">
        <v>25.005099999999999</v>
      </c>
      <c r="Y64">
        <v>15.492000000000001</v>
      </c>
      <c r="Z64">
        <v>5.4763299999999999</v>
      </c>
      <c r="AA64">
        <v>22.9254</v>
      </c>
      <c r="AJ64" s="15">
        <v>0</v>
      </c>
      <c r="AK64" s="2">
        <v>0</v>
      </c>
      <c r="AL64" s="2">
        <v>74.08788800239563</v>
      </c>
      <c r="AM64" s="2">
        <v>80.985444784164429</v>
      </c>
      <c r="AN64" s="2">
        <v>8.6152136325836182</v>
      </c>
      <c r="AO64" s="2">
        <v>0</v>
      </c>
      <c r="AP64" s="2">
        <v>0</v>
      </c>
      <c r="AQ64" s="2">
        <v>0</v>
      </c>
      <c r="AR64" s="2">
        <v>27.686268091201782</v>
      </c>
      <c r="AS64" s="2">
        <v>16.6423499584198</v>
      </c>
      <c r="AT64" s="2">
        <v>0</v>
      </c>
      <c r="AU64" s="2">
        <v>15.438741445541382</v>
      </c>
      <c r="AV64" s="2">
        <v>3.2651960849761963</v>
      </c>
      <c r="AW64" s="2">
        <v>10.231608152389526</v>
      </c>
      <c r="AX64" s="2">
        <v>0</v>
      </c>
      <c r="AY64" s="2">
        <v>0</v>
      </c>
      <c r="AZ64" s="2">
        <v>60.241502523422241</v>
      </c>
      <c r="BA64" s="2">
        <v>56.579059362411499</v>
      </c>
      <c r="BB64" s="2">
        <v>0</v>
      </c>
      <c r="BC64" s="2">
        <v>0</v>
      </c>
    </row>
    <row r="65" spans="7:55" x14ac:dyDescent="0.25">
      <c r="G65" s="18">
        <v>5</v>
      </c>
      <c r="H65">
        <v>19.567900000000002</v>
      </c>
      <c r="I65">
        <v>7.1110899999999999</v>
      </c>
      <c r="J65">
        <v>31.706499999999998</v>
      </c>
      <c r="K65">
        <v>25.013999999999999</v>
      </c>
      <c r="L65">
        <v>0</v>
      </c>
      <c r="M65">
        <v>25.0655</v>
      </c>
      <c r="N65">
        <v>18.755600000000001</v>
      </c>
      <c r="O65">
        <v>13.87</v>
      </c>
      <c r="P65">
        <v>21.020700000000001</v>
      </c>
      <c r="Q65">
        <v>17.013100000000001</v>
      </c>
      <c r="R65">
        <v>42.314700000000002</v>
      </c>
      <c r="S65">
        <v>22.940799999999999</v>
      </c>
      <c r="T65">
        <v>10.4842</v>
      </c>
      <c r="U65">
        <v>4.9392800000000001</v>
      </c>
      <c r="V65">
        <v>24.9894</v>
      </c>
      <c r="W65">
        <v>8.6152099999999994</v>
      </c>
      <c r="X65">
        <v>14.2133</v>
      </c>
      <c r="Y65">
        <v>9.5219500000000004</v>
      </c>
      <c r="Z65">
        <v>19.537600000000001</v>
      </c>
      <c r="AA65">
        <v>12.133599999999999</v>
      </c>
      <c r="AJ65" s="15">
        <v>67.110735177993774</v>
      </c>
      <c r="AK65" s="2">
        <v>0</v>
      </c>
      <c r="AL65" s="2">
        <v>0</v>
      </c>
      <c r="AM65" s="2">
        <v>0</v>
      </c>
      <c r="AN65" s="2">
        <v>0</v>
      </c>
      <c r="AO65" s="2">
        <v>55.022209882736206</v>
      </c>
      <c r="AP65" s="2">
        <v>79.780083894729614</v>
      </c>
      <c r="AQ65" s="2">
        <v>0</v>
      </c>
      <c r="AR65" s="2">
        <v>52.104955911636353</v>
      </c>
      <c r="AS65" s="2">
        <v>59.555071592330933</v>
      </c>
      <c r="AT65" s="2">
        <v>0</v>
      </c>
      <c r="AU65" s="2">
        <v>0</v>
      </c>
      <c r="AV65" s="2">
        <v>3.7291109561920166</v>
      </c>
      <c r="AW65" s="2">
        <v>0</v>
      </c>
      <c r="AX65" s="2">
        <v>0</v>
      </c>
      <c r="AY65" s="2">
        <v>60.241502523422241</v>
      </c>
      <c r="AZ65" s="2">
        <v>0</v>
      </c>
      <c r="BA65" s="2">
        <v>0</v>
      </c>
      <c r="BB65" s="2">
        <v>0</v>
      </c>
      <c r="BC65" s="2">
        <v>5.0207674503326416</v>
      </c>
    </row>
    <row r="66" spans="7:55" x14ac:dyDescent="0.25">
      <c r="G66" s="18">
        <v>6</v>
      </c>
      <c r="H66">
        <v>25.589500000000001</v>
      </c>
      <c r="I66">
        <v>17.9544</v>
      </c>
      <c r="J66">
        <v>43.813099999999999</v>
      </c>
      <c r="K66">
        <v>31.035599999999999</v>
      </c>
      <c r="L66">
        <v>25.0655</v>
      </c>
      <c r="M66">
        <v>0</v>
      </c>
      <c r="N66">
        <v>29.599</v>
      </c>
      <c r="O66">
        <v>33.807499999999997</v>
      </c>
      <c r="P66">
        <v>40.958300000000001</v>
      </c>
      <c r="Q66">
        <v>27.8565</v>
      </c>
      <c r="R66">
        <v>53.158000000000001</v>
      </c>
      <c r="S66">
        <v>28.962399999999999</v>
      </c>
      <c r="T66">
        <v>21.327500000000001</v>
      </c>
      <c r="U66">
        <v>30.004799999999999</v>
      </c>
      <c r="V66">
        <v>50.054900000000004</v>
      </c>
      <c r="W66">
        <v>24.592700000000001</v>
      </c>
      <c r="X66">
        <v>25.0566</v>
      </c>
      <c r="Y66">
        <v>15.5436</v>
      </c>
      <c r="Z66">
        <v>25.5593</v>
      </c>
      <c r="AA66">
        <v>22.976900000000001</v>
      </c>
      <c r="AJ66" s="15">
        <v>10.045963525772001</v>
      </c>
      <c r="AK66" s="2">
        <v>2.4108588695526123</v>
      </c>
      <c r="AL66" s="2">
        <v>81.668549776077271</v>
      </c>
      <c r="AM66" s="2">
        <v>0</v>
      </c>
      <c r="AN66" s="2">
        <v>0</v>
      </c>
      <c r="AO66" s="2">
        <v>15.543574094772339</v>
      </c>
      <c r="AP66" s="2">
        <v>0</v>
      </c>
      <c r="AQ66" s="2">
        <v>57.883208990097046</v>
      </c>
      <c r="AR66" s="2">
        <v>26.769310235977173</v>
      </c>
      <c r="AS66" s="2">
        <v>0</v>
      </c>
      <c r="AT66" s="2">
        <v>0</v>
      </c>
      <c r="AU66" s="2">
        <v>0</v>
      </c>
      <c r="AV66" s="2">
        <v>28.510957956314087</v>
      </c>
      <c r="AW66" s="2">
        <v>0</v>
      </c>
      <c r="AX66" s="2">
        <v>93.544036149978638</v>
      </c>
      <c r="AY66" s="2">
        <v>56.579059362411499</v>
      </c>
      <c r="AZ66" s="2">
        <v>0</v>
      </c>
      <c r="BA66" s="2">
        <v>0</v>
      </c>
      <c r="BB66" s="2">
        <v>10.015696287155151</v>
      </c>
      <c r="BC66" s="2">
        <v>0</v>
      </c>
    </row>
    <row r="67" spans="7:55" x14ac:dyDescent="0.25">
      <c r="G67" s="18">
        <v>7</v>
      </c>
      <c r="H67">
        <v>24.101299999999998</v>
      </c>
      <c r="I67">
        <v>11.644500000000001</v>
      </c>
      <c r="J67">
        <v>37.5032</v>
      </c>
      <c r="K67">
        <v>29.5474</v>
      </c>
      <c r="L67">
        <v>18.755600000000001</v>
      </c>
      <c r="M67">
        <v>29.599</v>
      </c>
      <c r="N67">
        <v>0</v>
      </c>
      <c r="O67">
        <v>7.6935500000000001</v>
      </c>
      <c r="P67">
        <v>14.8443</v>
      </c>
      <c r="Q67">
        <v>1.7424900000000001</v>
      </c>
      <c r="R67">
        <v>46.848100000000002</v>
      </c>
      <c r="S67">
        <v>27.4742</v>
      </c>
      <c r="T67">
        <v>15.0176</v>
      </c>
      <c r="U67">
        <v>23.694900000000001</v>
      </c>
      <c r="V67">
        <v>43.744999999999997</v>
      </c>
      <c r="W67">
        <v>18.282800000000002</v>
      </c>
      <c r="X67">
        <v>11.642799999999999</v>
      </c>
      <c r="Y67">
        <v>14.055400000000001</v>
      </c>
      <c r="Z67">
        <v>24.071100000000001</v>
      </c>
      <c r="AA67">
        <v>6.6220299999999996</v>
      </c>
      <c r="AJ67" s="15">
        <v>17.631155252456665</v>
      </c>
      <c r="AK67" s="2">
        <v>0</v>
      </c>
      <c r="AL67" s="2">
        <v>62.670642137527466</v>
      </c>
      <c r="AM67" s="2">
        <v>5.4763257503509521</v>
      </c>
      <c r="AN67" s="2">
        <v>74.247986078262329</v>
      </c>
      <c r="AO67" s="2">
        <v>94.877499341964722</v>
      </c>
      <c r="AP67" s="2">
        <v>45.704251527786255</v>
      </c>
      <c r="AQ67" s="2">
        <v>0</v>
      </c>
      <c r="AR67" s="2">
        <v>62.665659189224243</v>
      </c>
      <c r="AS67" s="2">
        <v>22.765463590621948</v>
      </c>
      <c r="AT67" s="2">
        <v>85.856086015701294</v>
      </c>
      <c r="AU67" s="2">
        <v>3.4031331539154053</v>
      </c>
      <c r="AV67" s="2">
        <v>58.909565210342407</v>
      </c>
      <c r="AW67" s="2">
        <v>0</v>
      </c>
      <c r="AX67" s="2">
        <v>0</v>
      </c>
      <c r="AY67" s="2">
        <v>0</v>
      </c>
      <c r="AZ67" s="2">
        <v>0</v>
      </c>
      <c r="BA67" s="2">
        <v>10.015696287155151</v>
      </c>
      <c r="BB67" s="2">
        <v>0</v>
      </c>
      <c r="BC67" s="2">
        <v>0</v>
      </c>
    </row>
    <row r="68" spans="7:55" x14ac:dyDescent="0.25">
      <c r="G68" s="18">
        <v>8</v>
      </c>
      <c r="H68">
        <v>28.309899999999999</v>
      </c>
      <c r="I68">
        <v>15.8531</v>
      </c>
      <c r="J68">
        <v>41.711799999999997</v>
      </c>
      <c r="K68">
        <v>33.459299999999999</v>
      </c>
      <c r="L68">
        <v>13.87</v>
      </c>
      <c r="M68">
        <v>33.807499999999997</v>
      </c>
      <c r="N68">
        <v>7.6935500000000001</v>
      </c>
      <c r="O68">
        <v>0</v>
      </c>
      <c r="P68">
        <v>7.1507399999999999</v>
      </c>
      <c r="Q68">
        <v>5.95106</v>
      </c>
      <c r="R68">
        <v>48.815300000000001</v>
      </c>
      <c r="S68">
        <v>24.579899999999999</v>
      </c>
      <c r="T68">
        <v>19.226199999999999</v>
      </c>
      <c r="U68">
        <v>18.809200000000001</v>
      </c>
      <c r="V68">
        <v>38.859299999999998</v>
      </c>
      <c r="W68">
        <v>22.485199999999999</v>
      </c>
      <c r="X68">
        <v>15.8514</v>
      </c>
      <c r="Y68">
        <v>18.263999999999999</v>
      </c>
      <c r="Z68">
        <v>27.983000000000001</v>
      </c>
      <c r="AA68">
        <v>10.8306</v>
      </c>
      <c r="AJ68" s="15">
        <v>0</v>
      </c>
      <c r="AK68" s="2">
        <v>5.0224959850311279</v>
      </c>
      <c r="AL68" s="2">
        <v>37.399846315383911</v>
      </c>
      <c r="AM68" s="2">
        <v>0</v>
      </c>
      <c r="AN68" s="2">
        <v>53.290086984634399</v>
      </c>
      <c r="AO68" s="2">
        <v>0</v>
      </c>
      <c r="AP68" s="2">
        <v>52.21598744392395</v>
      </c>
      <c r="AQ68" s="2">
        <v>0</v>
      </c>
      <c r="AR68" s="2">
        <v>0</v>
      </c>
      <c r="AS68" s="2">
        <v>4.8795402050018311</v>
      </c>
      <c r="AT68" s="2">
        <v>0</v>
      </c>
      <c r="AU68" s="2">
        <v>47.807401418685913</v>
      </c>
      <c r="AV68" s="2">
        <v>77.786260843276978</v>
      </c>
      <c r="AW68" s="2">
        <v>29.749315977096558</v>
      </c>
      <c r="AX68" s="2">
        <v>86.796694993972778</v>
      </c>
      <c r="AY68" s="2">
        <v>0</v>
      </c>
      <c r="AZ68" s="2">
        <v>5.0207674503326416</v>
      </c>
      <c r="BA68" s="2">
        <v>0</v>
      </c>
      <c r="BB68" s="2">
        <v>0</v>
      </c>
      <c r="BC68" s="2">
        <v>0</v>
      </c>
    </row>
    <row r="69" spans="7:55" x14ac:dyDescent="0.25">
      <c r="G69" s="18">
        <v>9</v>
      </c>
      <c r="H69">
        <v>31.654199999999999</v>
      </c>
      <c r="I69">
        <v>23.003799999999998</v>
      </c>
      <c r="J69">
        <v>48.862499999999997</v>
      </c>
      <c r="K69">
        <v>26.308599999999998</v>
      </c>
      <c r="L69">
        <v>21.020700000000001</v>
      </c>
      <c r="M69">
        <v>40.958300000000001</v>
      </c>
      <c r="N69">
        <v>14.8443</v>
      </c>
      <c r="O69">
        <v>7.1507399999999999</v>
      </c>
      <c r="P69">
        <v>0</v>
      </c>
      <c r="Q69">
        <v>13.101800000000001</v>
      </c>
      <c r="R69">
        <v>41.664499999999997</v>
      </c>
      <c r="S69">
        <v>17.429099999999998</v>
      </c>
      <c r="T69">
        <v>26.376899999999999</v>
      </c>
      <c r="U69">
        <v>25.96</v>
      </c>
      <c r="V69">
        <v>44.089399999999998</v>
      </c>
      <c r="W69">
        <v>27.686299999999999</v>
      </c>
      <c r="X69">
        <v>23.002099999999999</v>
      </c>
      <c r="Y69">
        <v>25.4147</v>
      </c>
      <c r="Z69">
        <v>20.8323</v>
      </c>
      <c r="AA69">
        <v>17.981300000000001</v>
      </c>
    </row>
    <row r="70" spans="7:55" x14ac:dyDescent="0.25">
      <c r="G70" s="18">
        <v>10</v>
      </c>
      <c r="H70">
        <v>22.358899999999998</v>
      </c>
      <c r="I70">
        <v>9.9020399999999995</v>
      </c>
      <c r="J70">
        <v>35.7607</v>
      </c>
      <c r="K70">
        <v>27.8049</v>
      </c>
      <c r="L70">
        <v>17.013100000000001</v>
      </c>
      <c r="M70">
        <v>27.8565</v>
      </c>
      <c r="N70">
        <v>1.7424900000000001</v>
      </c>
      <c r="O70">
        <v>5.95106</v>
      </c>
      <c r="P70">
        <v>13.101800000000001</v>
      </c>
      <c r="Q70">
        <v>0</v>
      </c>
      <c r="R70">
        <v>45.105600000000003</v>
      </c>
      <c r="S70">
        <v>25.7317</v>
      </c>
      <c r="T70">
        <v>13.2751</v>
      </c>
      <c r="U70">
        <v>21.952400000000001</v>
      </c>
      <c r="V70">
        <v>42.002499999999998</v>
      </c>
      <c r="W70">
        <v>16.540299999999998</v>
      </c>
      <c r="X70">
        <v>9.9003099999999993</v>
      </c>
      <c r="Y70">
        <v>12.312900000000001</v>
      </c>
      <c r="Z70">
        <v>22.328600000000002</v>
      </c>
      <c r="AA70">
        <v>4.8795400000000004</v>
      </c>
    </row>
    <row r="71" spans="7:55" x14ac:dyDescent="0.25">
      <c r="G71" s="18">
        <v>11</v>
      </c>
      <c r="H71">
        <v>36.289200000000001</v>
      </c>
      <c r="I71">
        <v>35.203600000000002</v>
      </c>
      <c r="J71">
        <v>61.0623</v>
      </c>
      <c r="K71">
        <v>26.737500000000001</v>
      </c>
      <c r="L71">
        <v>42.314700000000002</v>
      </c>
      <c r="M71">
        <v>53.158000000000001</v>
      </c>
      <c r="N71">
        <v>46.848100000000002</v>
      </c>
      <c r="O71">
        <v>48.815300000000001</v>
      </c>
      <c r="P71">
        <v>41.664499999999997</v>
      </c>
      <c r="Q71">
        <v>45.105600000000003</v>
      </c>
      <c r="R71">
        <v>0</v>
      </c>
      <c r="S71">
        <v>24.235399999999998</v>
      </c>
      <c r="T71">
        <v>31.830500000000001</v>
      </c>
      <c r="U71">
        <v>45.327300000000001</v>
      </c>
      <c r="V71">
        <v>67.304100000000005</v>
      </c>
      <c r="W71">
        <v>35.095700000000001</v>
      </c>
      <c r="X71">
        <v>35.559600000000003</v>
      </c>
      <c r="Y71">
        <v>37.6145</v>
      </c>
      <c r="Z71">
        <v>27.6386</v>
      </c>
      <c r="AA71">
        <v>40.226100000000002</v>
      </c>
      <c r="AJ71">
        <v>244.10000000000002</v>
      </c>
      <c r="AL71">
        <v>244.10000000000002</v>
      </c>
      <c r="AM71">
        <v>751</v>
      </c>
      <c r="AN71">
        <v>301.5</v>
      </c>
      <c r="AO71">
        <v>179.9</v>
      </c>
      <c r="AP71">
        <v>624.20000000000005</v>
      </c>
      <c r="AQ71">
        <v>346.40000000000003</v>
      </c>
      <c r="AR71">
        <v>432.70000000000005</v>
      </c>
      <c r="AS71">
        <v>559</v>
      </c>
      <c r="AT71">
        <v>993.5</v>
      </c>
      <c r="AU71">
        <v>343.70000000000005</v>
      </c>
    </row>
    <row r="72" spans="7:55" x14ac:dyDescent="0.25">
      <c r="G72" s="18">
        <v>12</v>
      </c>
      <c r="H72">
        <v>14.225099999999999</v>
      </c>
      <c r="I72">
        <v>15.829700000000001</v>
      </c>
      <c r="J72">
        <v>41.688400000000001</v>
      </c>
      <c r="K72">
        <v>8.8794599999999999</v>
      </c>
      <c r="L72">
        <v>22.940799999999999</v>
      </c>
      <c r="M72">
        <v>28.962399999999999</v>
      </c>
      <c r="N72">
        <v>27.4742</v>
      </c>
      <c r="O72">
        <v>24.579899999999999</v>
      </c>
      <c r="P72">
        <v>17.429099999999998</v>
      </c>
      <c r="Q72">
        <v>25.7317</v>
      </c>
      <c r="R72">
        <v>24.235399999999998</v>
      </c>
      <c r="S72">
        <v>0</v>
      </c>
      <c r="T72">
        <v>18.703900000000001</v>
      </c>
      <c r="U72">
        <v>25.670300000000001</v>
      </c>
      <c r="V72">
        <v>47.930199999999999</v>
      </c>
      <c r="W72">
        <v>15.438700000000001</v>
      </c>
      <c r="X72">
        <v>22.433</v>
      </c>
      <c r="Y72">
        <v>13.418799999999999</v>
      </c>
      <c r="Z72">
        <v>3.40313</v>
      </c>
      <c r="AA72">
        <v>20.8522</v>
      </c>
      <c r="AJ72">
        <v>751</v>
      </c>
    </row>
    <row r="73" spans="7:55" x14ac:dyDescent="0.25">
      <c r="G73" s="18">
        <v>13</v>
      </c>
      <c r="H73">
        <v>15.8299</v>
      </c>
      <c r="I73">
        <v>3.3730699999999998</v>
      </c>
      <c r="J73">
        <v>29.2318</v>
      </c>
      <c r="K73">
        <v>21.2759</v>
      </c>
      <c r="L73">
        <v>10.4842</v>
      </c>
      <c r="M73">
        <v>21.327500000000001</v>
      </c>
      <c r="N73">
        <v>15.0176</v>
      </c>
      <c r="O73">
        <v>19.226199999999999</v>
      </c>
      <c r="P73">
        <v>26.376899999999999</v>
      </c>
      <c r="Q73">
        <v>13.2751</v>
      </c>
      <c r="R73">
        <v>31.830500000000001</v>
      </c>
      <c r="S73">
        <v>18.703900000000001</v>
      </c>
      <c r="T73">
        <v>0</v>
      </c>
      <c r="U73">
        <v>13.4968</v>
      </c>
      <c r="V73">
        <v>35.473500000000001</v>
      </c>
      <c r="W73">
        <v>3.2652000000000001</v>
      </c>
      <c r="X73">
        <v>3.7291099999999999</v>
      </c>
      <c r="Y73">
        <v>5.7839299999999998</v>
      </c>
      <c r="Z73">
        <v>15.7996</v>
      </c>
      <c r="AA73">
        <v>8.3955599999999997</v>
      </c>
      <c r="AJ73">
        <v>301.5</v>
      </c>
    </row>
    <row r="74" spans="7:55" x14ac:dyDescent="0.25">
      <c r="G74" s="18">
        <v>14</v>
      </c>
      <c r="H74">
        <v>24.507200000000001</v>
      </c>
      <c r="I74">
        <v>12.0504</v>
      </c>
      <c r="J74">
        <v>26.767199999999999</v>
      </c>
      <c r="K74">
        <v>29.953199999999999</v>
      </c>
      <c r="L74">
        <v>4.9392800000000001</v>
      </c>
      <c r="M74">
        <v>30.004799999999999</v>
      </c>
      <c r="N74">
        <v>23.694900000000001</v>
      </c>
      <c r="O74">
        <v>18.809200000000001</v>
      </c>
      <c r="P74">
        <v>25.96</v>
      </c>
      <c r="Q74">
        <v>21.952400000000001</v>
      </c>
      <c r="R74">
        <v>45.327300000000001</v>
      </c>
      <c r="S74">
        <v>25.670300000000001</v>
      </c>
      <c r="T74">
        <v>13.4968</v>
      </c>
      <c r="U74">
        <v>0</v>
      </c>
      <c r="V74">
        <v>29.928599999999999</v>
      </c>
      <c r="W74">
        <v>10.2316</v>
      </c>
      <c r="X74">
        <v>17.225899999999999</v>
      </c>
      <c r="Y74">
        <v>14.4612</v>
      </c>
      <c r="Z74">
        <v>24.476900000000001</v>
      </c>
      <c r="AA74">
        <v>17.072900000000001</v>
      </c>
      <c r="AJ74">
        <v>179.9</v>
      </c>
    </row>
    <row r="75" spans="7:55" x14ac:dyDescent="0.25">
      <c r="G75" s="18">
        <v>15</v>
      </c>
      <c r="H75">
        <v>44.557299999999998</v>
      </c>
      <c r="I75">
        <v>32.100499999999997</v>
      </c>
      <c r="J75">
        <v>56.695900000000002</v>
      </c>
      <c r="K75">
        <v>50.003300000000003</v>
      </c>
      <c r="L75">
        <v>24.9894</v>
      </c>
      <c r="M75">
        <v>50.054900000000004</v>
      </c>
      <c r="N75">
        <v>43.744999999999997</v>
      </c>
      <c r="O75">
        <v>38.859299999999998</v>
      </c>
      <c r="P75">
        <v>44.089399999999998</v>
      </c>
      <c r="Q75">
        <v>42.002499999999998</v>
      </c>
      <c r="R75">
        <v>67.304100000000005</v>
      </c>
      <c r="S75">
        <v>47.930199999999999</v>
      </c>
      <c r="T75">
        <v>35.473500000000001</v>
      </c>
      <c r="U75">
        <v>29.928599999999999</v>
      </c>
      <c r="V75">
        <v>0</v>
      </c>
      <c r="W75">
        <v>33.604599999999998</v>
      </c>
      <c r="X75">
        <v>39.202599999999997</v>
      </c>
      <c r="Y75">
        <v>34.511299999999999</v>
      </c>
      <c r="Z75">
        <v>44.527000000000001</v>
      </c>
      <c r="AA75">
        <v>37.122999999999998</v>
      </c>
      <c r="AJ75">
        <v>624.20000000000005</v>
      </c>
    </row>
    <row r="76" spans="7:55" x14ac:dyDescent="0.25">
      <c r="G76" s="18">
        <v>16</v>
      </c>
      <c r="H76">
        <v>19.095099999999999</v>
      </c>
      <c r="I76">
        <v>6.6382599999999998</v>
      </c>
      <c r="J76">
        <v>32.497</v>
      </c>
      <c r="K76">
        <v>24.318200000000001</v>
      </c>
      <c r="L76">
        <v>8.6152099999999994</v>
      </c>
      <c r="M76">
        <v>24.592700000000001</v>
      </c>
      <c r="N76">
        <v>18.282800000000002</v>
      </c>
      <c r="O76">
        <v>22.485199999999999</v>
      </c>
      <c r="P76">
        <v>27.686299999999999</v>
      </c>
      <c r="Q76">
        <v>16.540299999999998</v>
      </c>
      <c r="R76">
        <v>35.095700000000001</v>
      </c>
      <c r="S76">
        <v>15.438700000000001</v>
      </c>
      <c r="T76">
        <v>3.2652000000000001</v>
      </c>
      <c r="U76">
        <v>10.2316</v>
      </c>
      <c r="V76">
        <v>33.604599999999998</v>
      </c>
      <c r="W76">
        <v>0</v>
      </c>
      <c r="X76">
        <v>6.9943099999999996</v>
      </c>
      <c r="Y76">
        <v>9.0491200000000003</v>
      </c>
      <c r="Z76">
        <v>18.841899999999999</v>
      </c>
      <c r="AA76">
        <v>11.6608</v>
      </c>
      <c r="AJ76">
        <v>346.40000000000003</v>
      </c>
    </row>
    <row r="77" spans="7:55" x14ac:dyDescent="0.25">
      <c r="G77" s="18">
        <v>17</v>
      </c>
      <c r="H77">
        <v>19.559000000000001</v>
      </c>
      <c r="I77">
        <v>7.1021799999999997</v>
      </c>
      <c r="J77">
        <v>32.960900000000002</v>
      </c>
      <c r="K77">
        <v>25.005099999999999</v>
      </c>
      <c r="L77">
        <v>14.2133</v>
      </c>
      <c r="M77">
        <v>25.0566</v>
      </c>
      <c r="N77">
        <v>11.642799999999999</v>
      </c>
      <c r="O77">
        <v>15.8514</v>
      </c>
      <c r="P77">
        <v>23.002099999999999</v>
      </c>
      <c r="Q77">
        <v>9.9003099999999993</v>
      </c>
      <c r="R77">
        <v>35.559600000000003</v>
      </c>
      <c r="S77">
        <v>22.433</v>
      </c>
      <c r="T77">
        <v>3.7291099999999999</v>
      </c>
      <c r="U77">
        <v>17.225899999999999</v>
      </c>
      <c r="V77">
        <v>39.202599999999997</v>
      </c>
      <c r="W77">
        <v>6.9943099999999996</v>
      </c>
      <c r="X77">
        <v>0</v>
      </c>
      <c r="Y77">
        <v>9.5130400000000002</v>
      </c>
      <c r="Z77">
        <v>19.528700000000001</v>
      </c>
      <c r="AA77">
        <v>5.0207699999999997</v>
      </c>
      <c r="AJ77">
        <v>432.70000000000005</v>
      </c>
    </row>
    <row r="78" spans="7:55" x14ac:dyDescent="0.25">
      <c r="G78" s="18">
        <v>18</v>
      </c>
      <c r="H78">
        <v>10.045999999999999</v>
      </c>
      <c r="I78">
        <v>2.41086</v>
      </c>
      <c r="J78">
        <v>28.269600000000001</v>
      </c>
      <c r="K78">
        <v>15.492000000000001</v>
      </c>
      <c r="L78">
        <v>9.5219500000000004</v>
      </c>
      <c r="M78">
        <v>15.5436</v>
      </c>
      <c r="N78">
        <v>14.055400000000001</v>
      </c>
      <c r="O78">
        <v>18.263999999999999</v>
      </c>
      <c r="P78">
        <v>25.4147</v>
      </c>
      <c r="Q78">
        <v>12.312900000000001</v>
      </c>
      <c r="R78">
        <v>37.6145</v>
      </c>
      <c r="S78">
        <v>13.418799999999999</v>
      </c>
      <c r="T78">
        <v>5.7839299999999998</v>
      </c>
      <c r="U78">
        <v>14.4612</v>
      </c>
      <c r="V78">
        <v>34.511299999999999</v>
      </c>
      <c r="W78">
        <v>9.0491200000000003</v>
      </c>
      <c r="X78">
        <v>9.5130400000000002</v>
      </c>
      <c r="Y78">
        <v>0</v>
      </c>
      <c r="Z78">
        <v>10.015700000000001</v>
      </c>
      <c r="AA78">
        <v>7.4333499999999999</v>
      </c>
      <c r="AJ78">
        <v>559</v>
      </c>
    </row>
    <row r="79" spans="7:55" x14ac:dyDescent="0.25">
      <c r="G79" s="18">
        <v>19</v>
      </c>
      <c r="H79">
        <v>17.6282</v>
      </c>
      <c r="I79">
        <v>12.426600000000001</v>
      </c>
      <c r="J79">
        <v>38.285299999999999</v>
      </c>
      <c r="K79">
        <v>5.4763299999999999</v>
      </c>
      <c r="L79">
        <v>19.537600000000001</v>
      </c>
      <c r="M79">
        <v>25.5593</v>
      </c>
      <c r="N79">
        <v>24.071100000000001</v>
      </c>
      <c r="O79">
        <v>27.983000000000001</v>
      </c>
      <c r="P79">
        <v>20.8323</v>
      </c>
      <c r="Q79">
        <v>22.328600000000002</v>
      </c>
      <c r="R79">
        <v>27.6386</v>
      </c>
      <c r="S79">
        <v>3.40313</v>
      </c>
      <c r="T79">
        <v>15.7996</v>
      </c>
      <c r="U79">
        <v>24.476900000000001</v>
      </c>
      <c r="V79">
        <v>44.527000000000001</v>
      </c>
      <c r="W79">
        <v>18.841899999999999</v>
      </c>
      <c r="X79">
        <v>19.528700000000001</v>
      </c>
      <c r="Y79">
        <v>10.015700000000001</v>
      </c>
      <c r="Z79">
        <v>0</v>
      </c>
      <c r="AA79">
        <v>17.449100000000001</v>
      </c>
      <c r="AJ79">
        <v>993.5</v>
      </c>
    </row>
    <row r="80" spans="7:55" ht="15.75" thickBot="1" x14ac:dyDescent="0.3">
      <c r="G80" s="19">
        <v>20</v>
      </c>
      <c r="H80">
        <v>17.479299999999999</v>
      </c>
      <c r="I80">
        <v>5.0225</v>
      </c>
      <c r="J80">
        <v>30.8812</v>
      </c>
      <c r="K80">
        <v>22.9254</v>
      </c>
      <c r="L80">
        <v>12.133599999999999</v>
      </c>
      <c r="M80">
        <v>22.976900000000001</v>
      </c>
      <c r="N80">
        <v>6.6220299999999996</v>
      </c>
      <c r="O80">
        <v>10.8306</v>
      </c>
      <c r="P80">
        <v>17.981300000000001</v>
      </c>
      <c r="Q80">
        <v>4.8795400000000004</v>
      </c>
      <c r="R80">
        <v>40.226100000000002</v>
      </c>
      <c r="S80">
        <v>20.8522</v>
      </c>
      <c r="T80">
        <v>8.3955599999999997</v>
      </c>
      <c r="U80">
        <v>17.072900000000001</v>
      </c>
      <c r="V80">
        <v>37.122999999999998</v>
      </c>
      <c r="W80">
        <v>11.6608</v>
      </c>
      <c r="X80">
        <v>5.0207699999999997</v>
      </c>
      <c r="Y80">
        <v>7.4333499999999999</v>
      </c>
      <c r="Z80">
        <v>17.449100000000001</v>
      </c>
      <c r="AA80">
        <v>0</v>
      </c>
      <c r="AJ80">
        <v>343.70000000000005</v>
      </c>
    </row>
    <row r="82" spans="7:47" x14ac:dyDescent="0.25">
      <c r="AJ82">
        <v>951</v>
      </c>
      <c r="AL82">
        <v>951</v>
      </c>
      <c r="AM82">
        <v>399.3</v>
      </c>
      <c r="AN82">
        <v>212.60000000000002</v>
      </c>
      <c r="AO82">
        <v>391.70000000000005</v>
      </c>
      <c r="AP82">
        <v>715.80000000000007</v>
      </c>
      <c r="AQ82">
        <v>703.5</v>
      </c>
      <c r="AR82">
        <v>729.2</v>
      </c>
      <c r="AS82">
        <v>179</v>
      </c>
      <c r="AT82">
        <v>267.8</v>
      </c>
      <c r="AU82">
        <v>130.6</v>
      </c>
    </row>
    <row r="83" spans="7:47" ht="15.75" thickBot="1" x14ac:dyDescent="0.3">
      <c r="H83" s="1" t="s">
        <v>33</v>
      </c>
      <c r="AJ83">
        <v>399.3</v>
      </c>
    </row>
    <row r="84" spans="7:47" ht="15.75" thickBot="1" x14ac:dyDescent="0.3">
      <c r="H84" s="16">
        <v>1</v>
      </c>
      <c r="I84" s="20">
        <v>2</v>
      </c>
      <c r="J84" s="21">
        <v>3</v>
      </c>
      <c r="K84" s="21">
        <v>4</v>
      </c>
      <c r="L84" s="21">
        <v>5</v>
      </c>
      <c r="M84" s="21">
        <v>6</v>
      </c>
      <c r="N84" s="21">
        <v>7</v>
      </c>
      <c r="O84" s="21">
        <v>8</v>
      </c>
      <c r="P84" s="21">
        <v>9</v>
      </c>
      <c r="Q84" s="21">
        <v>10</v>
      </c>
      <c r="R84" s="21">
        <v>11</v>
      </c>
      <c r="S84" s="21">
        <v>12</v>
      </c>
      <c r="T84" s="21">
        <v>13</v>
      </c>
      <c r="U84" s="21">
        <v>14</v>
      </c>
      <c r="V84" s="21">
        <v>15</v>
      </c>
      <c r="W84" s="21">
        <v>16</v>
      </c>
      <c r="X84" s="21">
        <v>17</v>
      </c>
      <c r="Y84" s="21">
        <v>18</v>
      </c>
      <c r="Z84" s="21">
        <v>19</v>
      </c>
      <c r="AA84" s="22">
        <v>20</v>
      </c>
      <c r="AJ84">
        <v>212.60000000000002</v>
      </c>
    </row>
    <row r="85" spans="7:47" x14ac:dyDescent="0.25">
      <c r="G85" s="23">
        <v>1</v>
      </c>
      <c r="H85">
        <v>1</v>
      </c>
      <c r="I85">
        <v>18</v>
      </c>
      <c r="J85">
        <v>18</v>
      </c>
      <c r="K85">
        <v>12</v>
      </c>
      <c r="L85">
        <v>18</v>
      </c>
      <c r="M85">
        <v>18</v>
      </c>
      <c r="N85">
        <v>18</v>
      </c>
      <c r="O85">
        <v>18</v>
      </c>
      <c r="P85">
        <v>12</v>
      </c>
      <c r="Q85">
        <v>18</v>
      </c>
      <c r="R85">
        <v>11</v>
      </c>
      <c r="S85">
        <v>12</v>
      </c>
      <c r="T85">
        <v>18</v>
      </c>
      <c r="U85">
        <v>18</v>
      </c>
      <c r="V85">
        <v>18</v>
      </c>
      <c r="W85">
        <v>18</v>
      </c>
      <c r="X85">
        <v>18</v>
      </c>
      <c r="Y85">
        <v>18</v>
      </c>
      <c r="Z85">
        <v>12</v>
      </c>
      <c r="AA85">
        <v>18</v>
      </c>
      <c r="AJ85">
        <v>391.70000000000005</v>
      </c>
    </row>
    <row r="86" spans="7:47" x14ac:dyDescent="0.25">
      <c r="G86" s="17">
        <v>2</v>
      </c>
      <c r="H86">
        <v>18</v>
      </c>
      <c r="I86">
        <v>2</v>
      </c>
      <c r="J86">
        <v>3</v>
      </c>
      <c r="K86">
        <v>18</v>
      </c>
      <c r="L86">
        <v>5</v>
      </c>
      <c r="M86">
        <v>18</v>
      </c>
      <c r="N86">
        <v>20</v>
      </c>
      <c r="O86">
        <v>20</v>
      </c>
      <c r="P86">
        <v>20</v>
      </c>
      <c r="Q86">
        <v>20</v>
      </c>
      <c r="R86">
        <v>13</v>
      </c>
      <c r="S86">
        <v>18</v>
      </c>
      <c r="T86">
        <v>13</v>
      </c>
      <c r="U86">
        <v>5</v>
      </c>
      <c r="V86">
        <v>5</v>
      </c>
      <c r="W86">
        <v>13</v>
      </c>
      <c r="X86">
        <v>13</v>
      </c>
      <c r="Y86">
        <v>18</v>
      </c>
      <c r="Z86">
        <v>18</v>
      </c>
      <c r="AA86">
        <v>20</v>
      </c>
      <c r="AJ86">
        <v>715.80000000000007</v>
      </c>
    </row>
    <row r="87" spans="7:47" x14ac:dyDescent="0.25">
      <c r="G87" s="18">
        <v>3</v>
      </c>
      <c r="H87">
        <v>2</v>
      </c>
      <c r="I87">
        <v>2</v>
      </c>
      <c r="J87">
        <v>3</v>
      </c>
      <c r="K87">
        <v>2</v>
      </c>
      <c r="L87">
        <v>14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14</v>
      </c>
      <c r="V87">
        <v>14</v>
      </c>
      <c r="W87">
        <v>2</v>
      </c>
      <c r="X87">
        <v>2</v>
      </c>
      <c r="Y87">
        <v>2</v>
      </c>
      <c r="Z87">
        <v>2</v>
      </c>
      <c r="AA87">
        <v>2</v>
      </c>
      <c r="AJ87">
        <v>703.5</v>
      </c>
    </row>
    <row r="88" spans="7:47" x14ac:dyDescent="0.25">
      <c r="G88" s="18">
        <v>4</v>
      </c>
      <c r="H88">
        <v>19</v>
      </c>
      <c r="I88">
        <v>19</v>
      </c>
      <c r="J88">
        <v>19</v>
      </c>
      <c r="K88">
        <v>4</v>
      </c>
      <c r="L88">
        <v>19</v>
      </c>
      <c r="M88">
        <v>19</v>
      </c>
      <c r="N88">
        <v>19</v>
      </c>
      <c r="O88">
        <v>19</v>
      </c>
      <c r="P88">
        <v>19</v>
      </c>
      <c r="Q88">
        <v>19</v>
      </c>
      <c r="R88">
        <v>11</v>
      </c>
      <c r="S88">
        <v>19</v>
      </c>
      <c r="T88">
        <v>19</v>
      </c>
      <c r="U88">
        <v>19</v>
      </c>
      <c r="V88">
        <v>19</v>
      </c>
      <c r="W88">
        <v>19</v>
      </c>
      <c r="X88">
        <v>19</v>
      </c>
      <c r="Y88">
        <v>19</v>
      </c>
      <c r="Z88">
        <v>19</v>
      </c>
      <c r="AA88">
        <v>19</v>
      </c>
      <c r="AJ88">
        <v>729.2</v>
      </c>
    </row>
    <row r="89" spans="7:47" x14ac:dyDescent="0.25">
      <c r="G89" s="18">
        <v>5</v>
      </c>
      <c r="H89">
        <v>2</v>
      </c>
      <c r="I89">
        <v>2</v>
      </c>
      <c r="J89">
        <v>14</v>
      </c>
      <c r="K89">
        <v>2</v>
      </c>
      <c r="L89">
        <v>5</v>
      </c>
      <c r="M89">
        <v>2</v>
      </c>
      <c r="N89">
        <v>2</v>
      </c>
      <c r="O89">
        <v>8</v>
      </c>
      <c r="P89">
        <v>8</v>
      </c>
      <c r="Q89">
        <v>2</v>
      </c>
      <c r="R89">
        <v>2</v>
      </c>
      <c r="S89">
        <v>2</v>
      </c>
      <c r="T89">
        <v>2</v>
      </c>
      <c r="U89">
        <v>14</v>
      </c>
      <c r="V89">
        <v>15</v>
      </c>
      <c r="W89">
        <v>16</v>
      </c>
      <c r="X89">
        <v>2</v>
      </c>
      <c r="Y89">
        <v>2</v>
      </c>
      <c r="Z89">
        <v>2</v>
      </c>
      <c r="AA89">
        <v>2</v>
      </c>
      <c r="AJ89">
        <v>179</v>
      </c>
    </row>
    <row r="90" spans="7:47" x14ac:dyDescent="0.25">
      <c r="G90" s="18">
        <v>6</v>
      </c>
      <c r="H90">
        <v>18</v>
      </c>
      <c r="I90">
        <v>18</v>
      </c>
      <c r="J90">
        <v>18</v>
      </c>
      <c r="K90">
        <v>18</v>
      </c>
      <c r="L90">
        <v>18</v>
      </c>
      <c r="M90">
        <v>6</v>
      </c>
      <c r="N90">
        <v>18</v>
      </c>
      <c r="O90">
        <v>18</v>
      </c>
      <c r="P90">
        <v>18</v>
      </c>
      <c r="Q90">
        <v>18</v>
      </c>
      <c r="R90">
        <v>18</v>
      </c>
      <c r="S90">
        <v>18</v>
      </c>
      <c r="T90">
        <v>18</v>
      </c>
      <c r="U90">
        <v>18</v>
      </c>
      <c r="V90">
        <v>18</v>
      </c>
      <c r="W90">
        <v>18</v>
      </c>
      <c r="X90">
        <v>18</v>
      </c>
      <c r="Y90">
        <v>18</v>
      </c>
      <c r="Z90">
        <v>18</v>
      </c>
      <c r="AA90">
        <v>18</v>
      </c>
      <c r="AJ90">
        <v>267.8</v>
      </c>
    </row>
    <row r="91" spans="7:47" x14ac:dyDescent="0.25">
      <c r="G91" s="18">
        <v>7</v>
      </c>
      <c r="H91">
        <v>10</v>
      </c>
      <c r="I91">
        <v>10</v>
      </c>
      <c r="J91">
        <v>10</v>
      </c>
      <c r="K91">
        <v>10</v>
      </c>
      <c r="L91">
        <v>10</v>
      </c>
      <c r="M91">
        <v>10</v>
      </c>
      <c r="N91">
        <v>7</v>
      </c>
      <c r="O91">
        <v>10</v>
      </c>
      <c r="P91">
        <v>10</v>
      </c>
      <c r="Q91">
        <v>10</v>
      </c>
      <c r="R91">
        <v>10</v>
      </c>
      <c r="S91">
        <v>10</v>
      </c>
      <c r="T91">
        <v>10</v>
      </c>
      <c r="U91">
        <v>10</v>
      </c>
      <c r="V91">
        <v>10</v>
      </c>
      <c r="W91">
        <v>10</v>
      </c>
      <c r="X91">
        <v>10</v>
      </c>
      <c r="Y91">
        <v>10</v>
      </c>
      <c r="Z91">
        <v>10</v>
      </c>
      <c r="AA91">
        <v>10</v>
      </c>
      <c r="AJ91">
        <v>130.6</v>
      </c>
    </row>
    <row r="92" spans="7:47" x14ac:dyDescent="0.25">
      <c r="G92" s="18">
        <v>8</v>
      </c>
      <c r="H92">
        <v>10</v>
      </c>
      <c r="I92">
        <v>10</v>
      </c>
      <c r="J92">
        <v>10</v>
      </c>
      <c r="K92">
        <v>9</v>
      </c>
      <c r="L92">
        <v>5</v>
      </c>
      <c r="M92">
        <v>10</v>
      </c>
      <c r="N92">
        <v>10</v>
      </c>
      <c r="O92">
        <v>8</v>
      </c>
      <c r="P92">
        <v>9</v>
      </c>
      <c r="Q92">
        <v>10</v>
      </c>
      <c r="R92">
        <v>9</v>
      </c>
      <c r="S92">
        <v>9</v>
      </c>
      <c r="T92">
        <v>10</v>
      </c>
      <c r="U92">
        <v>5</v>
      </c>
      <c r="V92">
        <v>5</v>
      </c>
      <c r="W92">
        <v>5</v>
      </c>
      <c r="X92">
        <v>10</v>
      </c>
      <c r="Y92">
        <v>10</v>
      </c>
      <c r="Z92">
        <v>9</v>
      </c>
      <c r="AA92">
        <v>10</v>
      </c>
    </row>
    <row r="93" spans="7:47" x14ac:dyDescent="0.25">
      <c r="G93" s="18">
        <v>9</v>
      </c>
      <c r="H93">
        <v>12</v>
      </c>
      <c r="I93">
        <v>8</v>
      </c>
      <c r="J93">
        <v>8</v>
      </c>
      <c r="K93">
        <v>12</v>
      </c>
      <c r="L93">
        <v>8</v>
      </c>
      <c r="M93">
        <v>8</v>
      </c>
      <c r="N93">
        <v>8</v>
      </c>
      <c r="O93">
        <v>8</v>
      </c>
      <c r="P93">
        <v>9</v>
      </c>
      <c r="Q93">
        <v>8</v>
      </c>
      <c r="R93">
        <v>12</v>
      </c>
      <c r="S93">
        <v>12</v>
      </c>
      <c r="T93">
        <v>8</v>
      </c>
      <c r="U93">
        <v>8</v>
      </c>
      <c r="V93">
        <v>15</v>
      </c>
      <c r="W93">
        <v>16</v>
      </c>
      <c r="X93">
        <v>8</v>
      </c>
      <c r="Y93">
        <v>8</v>
      </c>
      <c r="Z93">
        <v>12</v>
      </c>
      <c r="AA93">
        <v>8</v>
      </c>
    </row>
    <row r="94" spans="7:47" x14ac:dyDescent="0.25">
      <c r="G94" s="18">
        <v>10</v>
      </c>
      <c r="H94">
        <v>20</v>
      </c>
      <c r="I94">
        <v>20</v>
      </c>
      <c r="J94">
        <v>20</v>
      </c>
      <c r="K94">
        <v>20</v>
      </c>
      <c r="L94">
        <v>20</v>
      </c>
      <c r="M94">
        <v>20</v>
      </c>
      <c r="N94">
        <v>7</v>
      </c>
      <c r="O94">
        <v>8</v>
      </c>
      <c r="P94">
        <v>8</v>
      </c>
      <c r="Q94">
        <v>10</v>
      </c>
      <c r="R94">
        <v>20</v>
      </c>
      <c r="S94">
        <v>20</v>
      </c>
      <c r="T94">
        <v>20</v>
      </c>
      <c r="U94">
        <v>20</v>
      </c>
      <c r="V94">
        <v>20</v>
      </c>
      <c r="W94">
        <v>20</v>
      </c>
      <c r="X94">
        <v>20</v>
      </c>
      <c r="Y94">
        <v>20</v>
      </c>
      <c r="Z94">
        <v>20</v>
      </c>
      <c r="AA94">
        <v>20</v>
      </c>
      <c r="AJ94">
        <v>2.5812932903294034E-2</v>
      </c>
      <c r="AL94" s="53">
        <v>2.5812932903294034E-2</v>
      </c>
      <c r="AM94" s="53">
        <v>7.9416274520171304E-2</v>
      </c>
      <c r="AN94" s="53">
        <v>3.1882831914556126E-2</v>
      </c>
      <c r="AO94" s="53">
        <v>1.9023951779199494E-2</v>
      </c>
      <c r="AP94" s="53">
        <v>6.6007508063236936E-2</v>
      </c>
      <c r="AQ94" s="53">
        <v>3.6630888806640942E-2</v>
      </c>
      <c r="AR94" s="53">
        <v>4.5756886797440915E-2</v>
      </c>
      <c r="AS94" s="53">
        <v>5.9112779569608205E-2</v>
      </c>
      <c r="AT94" s="53">
        <v>0.10506001163221065</v>
      </c>
      <c r="AU94" s="53">
        <v>3.6345370908898646E-2</v>
      </c>
    </row>
    <row r="95" spans="7:47" x14ac:dyDescent="0.25">
      <c r="G95" s="18">
        <v>11</v>
      </c>
      <c r="H95">
        <v>1</v>
      </c>
      <c r="I95">
        <v>13</v>
      </c>
      <c r="J95">
        <v>13</v>
      </c>
      <c r="K95">
        <v>4</v>
      </c>
      <c r="L95">
        <v>13</v>
      </c>
      <c r="M95">
        <v>13</v>
      </c>
      <c r="N95">
        <v>13</v>
      </c>
      <c r="O95">
        <v>12</v>
      </c>
      <c r="P95">
        <v>12</v>
      </c>
      <c r="Q95">
        <v>13</v>
      </c>
      <c r="R95">
        <v>11</v>
      </c>
      <c r="S95">
        <v>12</v>
      </c>
      <c r="T95">
        <v>13</v>
      </c>
      <c r="U95">
        <v>13</v>
      </c>
      <c r="V95">
        <v>13</v>
      </c>
      <c r="W95">
        <v>13</v>
      </c>
      <c r="X95">
        <v>13</v>
      </c>
      <c r="Y95">
        <v>13</v>
      </c>
      <c r="Z95">
        <v>12</v>
      </c>
      <c r="AA95">
        <v>13</v>
      </c>
      <c r="AJ95">
        <v>7.9416274520171304E-2</v>
      </c>
    </row>
    <row r="96" spans="7:47" x14ac:dyDescent="0.25">
      <c r="G96" s="18">
        <v>12</v>
      </c>
      <c r="H96">
        <v>1</v>
      </c>
      <c r="I96">
        <v>19</v>
      </c>
      <c r="J96">
        <v>19</v>
      </c>
      <c r="K96">
        <v>19</v>
      </c>
      <c r="L96">
        <v>19</v>
      </c>
      <c r="M96">
        <v>19</v>
      </c>
      <c r="N96">
        <v>19</v>
      </c>
      <c r="O96">
        <v>9</v>
      </c>
      <c r="P96">
        <v>9</v>
      </c>
      <c r="Q96">
        <v>19</v>
      </c>
      <c r="R96">
        <v>11</v>
      </c>
      <c r="S96">
        <v>12</v>
      </c>
      <c r="T96">
        <v>16</v>
      </c>
      <c r="U96">
        <v>16</v>
      </c>
      <c r="V96">
        <v>19</v>
      </c>
      <c r="W96">
        <v>16</v>
      </c>
      <c r="X96">
        <v>16</v>
      </c>
      <c r="Y96">
        <v>19</v>
      </c>
      <c r="Z96">
        <v>19</v>
      </c>
      <c r="AA96">
        <v>19</v>
      </c>
      <c r="AJ96">
        <v>3.1882831914556126E-2</v>
      </c>
    </row>
    <row r="97" spans="7:47" x14ac:dyDescent="0.25">
      <c r="G97" s="18">
        <v>13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11</v>
      </c>
      <c r="S97">
        <v>16</v>
      </c>
      <c r="T97">
        <v>13</v>
      </c>
      <c r="U97">
        <v>16</v>
      </c>
      <c r="V97">
        <v>2</v>
      </c>
      <c r="W97">
        <v>16</v>
      </c>
      <c r="X97">
        <v>17</v>
      </c>
      <c r="Y97">
        <v>2</v>
      </c>
      <c r="Z97">
        <v>2</v>
      </c>
      <c r="AA97">
        <v>2</v>
      </c>
      <c r="AJ97">
        <v>1.9023951779199494E-2</v>
      </c>
    </row>
    <row r="98" spans="7:47" x14ac:dyDescent="0.25">
      <c r="G98" s="18">
        <v>14</v>
      </c>
      <c r="H98">
        <v>5</v>
      </c>
      <c r="I98">
        <v>5</v>
      </c>
      <c r="J98">
        <v>3</v>
      </c>
      <c r="K98">
        <v>5</v>
      </c>
      <c r="L98">
        <v>5</v>
      </c>
      <c r="M98">
        <v>5</v>
      </c>
      <c r="N98">
        <v>5</v>
      </c>
      <c r="O98">
        <v>5</v>
      </c>
      <c r="P98">
        <v>5</v>
      </c>
      <c r="Q98">
        <v>5</v>
      </c>
      <c r="R98">
        <v>16</v>
      </c>
      <c r="S98">
        <v>16</v>
      </c>
      <c r="T98">
        <v>16</v>
      </c>
      <c r="U98">
        <v>14</v>
      </c>
      <c r="V98">
        <v>5</v>
      </c>
      <c r="W98">
        <v>16</v>
      </c>
      <c r="X98">
        <v>16</v>
      </c>
      <c r="Y98">
        <v>5</v>
      </c>
      <c r="Z98">
        <v>5</v>
      </c>
      <c r="AA98">
        <v>5</v>
      </c>
      <c r="AJ98">
        <v>6.6007508063236936E-2</v>
      </c>
    </row>
    <row r="99" spans="7:47" x14ac:dyDescent="0.25">
      <c r="G99" s="18">
        <v>15</v>
      </c>
      <c r="H99">
        <v>5</v>
      </c>
      <c r="I99">
        <v>5</v>
      </c>
      <c r="J99">
        <v>5</v>
      </c>
      <c r="K99">
        <v>5</v>
      </c>
      <c r="L99">
        <v>5</v>
      </c>
      <c r="M99">
        <v>5</v>
      </c>
      <c r="N99">
        <v>5</v>
      </c>
      <c r="O99">
        <v>5</v>
      </c>
      <c r="P99">
        <v>9</v>
      </c>
      <c r="Q99">
        <v>5</v>
      </c>
      <c r="R99">
        <v>5</v>
      </c>
      <c r="S99">
        <v>5</v>
      </c>
      <c r="T99">
        <v>5</v>
      </c>
      <c r="U99">
        <v>5</v>
      </c>
      <c r="V99">
        <v>15</v>
      </c>
      <c r="W99">
        <v>5</v>
      </c>
      <c r="X99">
        <v>5</v>
      </c>
      <c r="Y99">
        <v>5</v>
      </c>
      <c r="Z99">
        <v>5</v>
      </c>
      <c r="AA99">
        <v>5</v>
      </c>
      <c r="AJ99">
        <v>3.6630888806640942E-2</v>
      </c>
    </row>
    <row r="100" spans="7:47" x14ac:dyDescent="0.25">
      <c r="G100" s="18">
        <v>16</v>
      </c>
      <c r="H100">
        <v>13</v>
      </c>
      <c r="I100">
        <v>13</v>
      </c>
      <c r="J100">
        <v>13</v>
      </c>
      <c r="K100">
        <v>12</v>
      </c>
      <c r="L100">
        <v>5</v>
      </c>
      <c r="M100">
        <v>13</v>
      </c>
      <c r="N100">
        <v>13</v>
      </c>
      <c r="O100">
        <v>5</v>
      </c>
      <c r="P100">
        <v>9</v>
      </c>
      <c r="Q100">
        <v>13</v>
      </c>
      <c r="R100">
        <v>13</v>
      </c>
      <c r="S100">
        <v>12</v>
      </c>
      <c r="T100">
        <v>13</v>
      </c>
      <c r="U100">
        <v>14</v>
      </c>
      <c r="V100">
        <v>5</v>
      </c>
      <c r="W100">
        <v>16</v>
      </c>
      <c r="X100">
        <v>13</v>
      </c>
      <c r="Y100">
        <v>13</v>
      </c>
      <c r="Z100">
        <v>12</v>
      </c>
      <c r="AA100">
        <v>13</v>
      </c>
      <c r="AJ100">
        <v>4.5756886797440915E-2</v>
      </c>
    </row>
    <row r="101" spans="7:47" x14ac:dyDescent="0.25">
      <c r="G101" s="18">
        <v>17</v>
      </c>
      <c r="H101">
        <v>13</v>
      </c>
      <c r="I101">
        <v>13</v>
      </c>
      <c r="J101">
        <v>13</v>
      </c>
      <c r="K101">
        <v>13</v>
      </c>
      <c r="L101">
        <v>13</v>
      </c>
      <c r="M101">
        <v>13</v>
      </c>
      <c r="N101">
        <v>20</v>
      </c>
      <c r="O101">
        <v>20</v>
      </c>
      <c r="P101">
        <v>20</v>
      </c>
      <c r="Q101">
        <v>20</v>
      </c>
      <c r="R101">
        <v>13</v>
      </c>
      <c r="S101">
        <v>13</v>
      </c>
      <c r="T101">
        <v>13</v>
      </c>
      <c r="U101">
        <v>13</v>
      </c>
      <c r="V101">
        <v>13</v>
      </c>
      <c r="W101">
        <v>13</v>
      </c>
      <c r="X101">
        <v>17</v>
      </c>
      <c r="Y101">
        <v>13</v>
      </c>
      <c r="Z101">
        <v>13</v>
      </c>
      <c r="AA101">
        <v>20</v>
      </c>
      <c r="AJ101">
        <v>5.9112779569608205E-2</v>
      </c>
    </row>
    <row r="102" spans="7:47" x14ac:dyDescent="0.25">
      <c r="G102" s="18">
        <v>18</v>
      </c>
      <c r="H102">
        <v>1</v>
      </c>
      <c r="I102">
        <v>2</v>
      </c>
      <c r="J102">
        <v>2</v>
      </c>
      <c r="K102">
        <v>19</v>
      </c>
      <c r="L102">
        <v>2</v>
      </c>
      <c r="M102">
        <v>6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19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18</v>
      </c>
      <c r="Z102">
        <v>19</v>
      </c>
      <c r="AA102">
        <v>2</v>
      </c>
      <c r="AJ102">
        <v>0.10506001163221065</v>
      </c>
    </row>
    <row r="103" spans="7:47" x14ac:dyDescent="0.25">
      <c r="G103" s="18">
        <v>19</v>
      </c>
      <c r="H103">
        <v>12</v>
      </c>
      <c r="I103">
        <v>18</v>
      </c>
      <c r="J103">
        <v>18</v>
      </c>
      <c r="K103">
        <v>4</v>
      </c>
      <c r="L103">
        <v>18</v>
      </c>
      <c r="M103">
        <v>18</v>
      </c>
      <c r="N103">
        <v>18</v>
      </c>
      <c r="O103">
        <v>12</v>
      </c>
      <c r="P103">
        <v>12</v>
      </c>
      <c r="Q103">
        <v>18</v>
      </c>
      <c r="R103">
        <v>12</v>
      </c>
      <c r="S103">
        <v>12</v>
      </c>
      <c r="T103">
        <v>18</v>
      </c>
      <c r="U103">
        <v>18</v>
      </c>
      <c r="V103">
        <v>18</v>
      </c>
      <c r="W103">
        <v>12</v>
      </c>
      <c r="X103">
        <v>18</v>
      </c>
      <c r="Y103">
        <v>18</v>
      </c>
      <c r="Z103">
        <v>19</v>
      </c>
      <c r="AA103">
        <v>18</v>
      </c>
      <c r="AJ103">
        <v>3.6345370908898646E-2</v>
      </c>
    </row>
    <row r="104" spans="7:47" ht="15.75" thickBot="1" x14ac:dyDescent="0.3">
      <c r="G104" s="19">
        <v>20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10</v>
      </c>
      <c r="O104">
        <v>10</v>
      </c>
      <c r="P104">
        <v>10</v>
      </c>
      <c r="Q104">
        <v>10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17</v>
      </c>
      <c r="Y104">
        <v>2</v>
      </c>
      <c r="Z104">
        <v>2</v>
      </c>
      <c r="AA104">
        <v>20</v>
      </c>
    </row>
    <row r="106" spans="7:47" x14ac:dyDescent="0.25">
      <c r="AJ106">
        <v>0.10056574842700788</v>
      </c>
      <c r="AL106" s="53">
        <v>0.10056574842700788</v>
      </c>
      <c r="AM106" s="53">
        <v>4.2224924654999205E-2</v>
      </c>
      <c r="AN106" s="53">
        <v>2.2481890762967274E-2</v>
      </c>
      <c r="AO106" s="53">
        <v>4.1421244646539422E-2</v>
      </c>
      <c r="AP106" s="53">
        <v>7.5693967112568081E-2</v>
      </c>
      <c r="AQ106" s="53">
        <v>7.4393274467297626E-2</v>
      </c>
      <c r="AR106" s="53">
        <v>7.7110981864326134E-2</v>
      </c>
      <c r="AS106" s="53">
        <v>1.8928779146618727E-2</v>
      </c>
      <c r="AT106" s="53">
        <v>2.8319145561254165E-2</v>
      </c>
      <c r="AU106" s="53">
        <v>1.3810606461164278E-2</v>
      </c>
    </row>
    <row r="107" spans="7:47" ht="15.75" thickBot="1" x14ac:dyDescent="0.3">
      <c r="H107" s="1" t="s">
        <v>34</v>
      </c>
      <c r="AJ107">
        <v>4.2224924654999205E-2</v>
      </c>
    </row>
    <row r="108" spans="7:47" ht="15.75" thickBot="1" x14ac:dyDescent="0.3">
      <c r="H108" s="16">
        <v>1</v>
      </c>
      <c r="I108" s="20">
        <v>2</v>
      </c>
      <c r="J108" s="21">
        <v>3</v>
      </c>
      <c r="K108" s="21">
        <v>4</v>
      </c>
      <c r="L108" s="21">
        <v>5</v>
      </c>
      <c r="M108" s="21">
        <v>6</v>
      </c>
      <c r="N108" s="21">
        <v>7</v>
      </c>
      <c r="O108" s="21">
        <v>8</v>
      </c>
      <c r="P108" s="21">
        <v>9</v>
      </c>
      <c r="Q108" s="21">
        <v>10</v>
      </c>
      <c r="R108" s="21">
        <v>11</v>
      </c>
      <c r="S108" s="21">
        <v>12</v>
      </c>
      <c r="T108" s="21">
        <v>13</v>
      </c>
      <c r="U108" s="21">
        <v>14</v>
      </c>
      <c r="V108" s="21">
        <v>15</v>
      </c>
      <c r="W108" s="21">
        <v>16</v>
      </c>
      <c r="X108" s="21">
        <v>17</v>
      </c>
      <c r="Y108" s="21">
        <v>18</v>
      </c>
      <c r="Z108" s="21">
        <v>19</v>
      </c>
      <c r="AA108" s="22">
        <v>20</v>
      </c>
      <c r="AJ108">
        <v>2.2481890762967274E-2</v>
      </c>
    </row>
    <row r="109" spans="7:47" x14ac:dyDescent="0.25">
      <c r="G109" s="23">
        <v>1</v>
      </c>
      <c r="H109">
        <v>6.3009399999999998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24.548100000000002</v>
      </c>
      <c r="S109">
        <v>47.508699999999997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165.74199999999999</v>
      </c>
      <c r="Z109">
        <v>0</v>
      </c>
      <c r="AA109">
        <v>0</v>
      </c>
      <c r="AJ109">
        <v>4.1421244646539422E-2</v>
      </c>
    </row>
    <row r="110" spans="7:47" x14ac:dyDescent="0.25">
      <c r="G110" s="17">
        <v>2</v>
      </c>
      <c r="H110">
        <v>0</v>
      </c>
      <c r="I110">
        <v>59.641599999999997</v>
      </c>
      <c r="J110">
        <v>236.67599999999999</v>
      </c>
      <c r="K110">
        <v>0</v>
      </c>
      <c r="L110">
        <v>851.30799999999999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1002.47</v>
      </c>
      <c r="U110">
        <v>0</v>
      </c>
      <c r="V110">
        <v>0</v>
      </c>
      <c r="W110">
        <v>0</v>
      </c>
      <c r="X110">
        <v>0</v>
      </c>
      <c r="Y110">
        <v>946.43</v>
      </c>
      <c r="Z110">
        <v>0</v>
      </c>
      <c r="AA110">
        <v>909.54300000000001</v>
      </c>
      <c r="AJ110">
        <v>7.5693967112568081E-2</v>
      </c>
    </row>
    <row r="111" spans="7:47" x14ac:dyDescent="0.25">
      <c r="G111" s="18">
        <v>3</v>
      </c>
      <c r="H111">
        <v>0</v>
      </c>
      <c r="I111">
        <v>236.67599999999999</v>
      </c>
      <c r="J111">
        <v>9.6126699999999996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55.211500000000001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J111">
        <v>7.4393274467297626E-2</v>
      </c>
    </row>
    <row r="112" spans="7:47" x14ac:dyDescent="0.25">
      <c r="G112" s="18">
        <v>4</v>
      </c>
      <c r="H112">
        <v>0</v>
      </c>
      <c r="I112">
        <v>0</v>
      </c>
      <c r="J112">
        <v>0</v>
      </c>
      <c r="K112">
        <v>3.4224100000000002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18.091799999999999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158.386</v>
      </c>
      <c r="AA112">
        <v>0</v>
      </c>
      <c r="AJ112">
        <v>7.7110981864326134E-2</v>
      </c>
    </row>
    <row r="113" spans="7:36" x14ac:dyDescent="0.25">
      <c r="G113" s="18">
        <v>5</v>
      </c>
      <c r="H113">
        <v>0</v>
      </c>
      <c r="I113">
        <v>851.30799999999999</v>
      </c>
      <c r="J113">
        <v>0</v>
      </c>
      <c r="K113">
        <v>0</v>
      </c>
      <c r="L113">
        <v>41.201900000000002</v>
      </c>
      <c r="M113">
        <v>0</v>
      </c>
      <c r="N113">
        <v>0</v>
      </c>
      <c r="O113">
        <v>250.68199999999999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281.62799999999999</v>
      </c>
      <c r="V113">
        <v>586.41600000000005</v>
      </c>
      <c r="W113">
        <v>141.273</v>
      </c>
      <c r="X113">
        <v>0</v>
      </c>
      <c r="Y113">
        <v>0</v>
      </c>
      <c r="Z113">
        <v>0</v>
      </c>
      <c r="AA113">
        <v>0</v>
      </c>
      <c r="AJ113">
        <v>1.8928779146618727E-2</v>
      </c>
    </row>
    <row r="114" spans="7:36" x14ac:dyDescent="0.25">
      <c r="G114" s="18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12.6889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333.71100000000001</v>
      </c>
      <c r="Z114">
        <v>0</v>
      </c>
      <c r="AA114">
        <v>0</v>
      </c>
      <c r="AJ114">
        <v>2.8319145561254165E-2</v>
      </c>
    </row>
    <row r="115" spans="7:36" x14ac:dyDescent="0.25">
      <c r="G115" s="18">
        <v>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19.798999999999999</v>
      </c>
      <c r="O115">
        <v>0</v>
      </c>
      <c r="P115">
        <v>0</v>
      </c>
      <c r="Q115">
        <v>412.90100000000001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J115">
        <v>1.3810606461164278E-2</v>
      </c>
    </row>
    <row r="116" spans="7:36" x14ac:dyDescent="0.25">
      <c r="G116" s="18">
        <v>8</v>
      </c>
      <c r="H116">
        <v>0</v>
      </c>
      <c r="I116">
        <v>0</v>
      </c>
      <c r="J116">
        <v>0</v>
      </c>
      <c r="K116">
        <v>0</v>
      </c>
      <c r="L116">
        <v>250.68199999999999</v>
      </c>
      <c r="M116">
        <v>0</v>
      </c>
      <c r="N116">
        <v>0</v>
      </c>
      <c r="O116">
        <v>33.043999999999997</v>
      </c>
      <c r="P116">
        <v>631.75300000000004</v>
      </c>
      <c r="Q116">
        <v>577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7:36" x14ac:dyDescent="0.25">
      <c r="G117" s="18">
        <v>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631.75300000000004</v>
      </c>
      <c r="P117">
        <v>104.377</v>
      </c>
      <c r="Q117">
        <v>0</v>
      </c>
      <c r="R117">
        <v>0</v>
      </c>
      <c r="S117">
        <v>320.82799999999997</v>
      </c>
      <c r="T117">
        <v>0</v>
      </c>
      <c r="U117">
        <v>0</v>
      </c>
      <c r="V117">
        <v>75.201999999999998</v>
      </c>
      <c r="W117">
        <v>73.909700000000001</v>
      </c>
      <c r="X117">
        <v>0</v>
      </c>
      <c r="Y117">
        <v>0</v>
      </c>
      <c r="Z117">
        <v>0</v>
      </c>
      <c r="AA117">
        <v>0</v>
      </c>
    </row>
    <row r="118" spans="7:36" x14ac:dyDescent="0.25">
      <c r="G118" s="18">
        <v>10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412.90100000000001</v>
      </c>
      <c r="O118">
        <v>577</v>
      </c>
      <c r="P118">
        <v>0</v>
      </c>
      <c r="Q118">
        <v>12.491899999999999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1034.73</v>
      </c>
    </row>
    <row r="119" spans="7:36" x14ac:dyDescent="0.25">
      <c r="G119" s="18">
        <v>11</v>
      </c>
      <c r="H119">
        <v>24.548100000000002</v>
      </c>
      <c r="I119">
        <v>0</v>
      </c>
      <c r="J119">
        <v>0</v>
      </c>
      <c r="K119">
        <v>18.091799999999999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95.638000000000005</v>
      </c>
      <c r="S119">
        <v>223.21600000000001</v>
      </c>
      <c r="T119">
        <v>589.50599999999997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7:36" x14ac:dyDescent="0.25">
      <c r="G120" s="18">
        <v>12</v>
      </c>
      <c r="H120">
        <v>47.508699999999997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320.82799999999997</v>
      </c>
      <c r="Q120">
        <v>0</v>
      </c>
      <c r="R120">
        <v>223.21600000000001</v>
      </c>
      <c r="S120">
        <v>16.860399999999998</v>
      </c>
      <c r="T120">
        <v>0</v>
      </c>
      <c r="U120">
        <v>0</v>
      </c>
      <c r="V120">
        <v>0</v>
      </c>
      <c r="W120">
        <v>119.318</v>
      </c>
      <c r="X120">
        <v>0</v>
      </c>
      <c r="Y120">
        <v>0</v>
      </c>
      <c r="Z120">
        <v>325.70400000000001</v>
      </c>
      <c r="AA120">
        <v>0</v>
      </c>
    </row>
    <row r="121" spans="7:36" x14ac:dyDescent="0.25">
      <c r="G121" s="18">
        <v>13</v>
      </c>
      <c r="H121">
        <v>0</v>
      </c>
      <c r="I121">
        <v>1002.47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589.50599999999997</v>
      </c>
      <c r="S121">
        <v>0</v>
      </c>
      <c r="T121">
        <v>4.7796500000000002</v>
      </c>
      <c r="U121">
        <v>0</v>
      </c>
      <c r="V121">
        <v>0</v>
      </c>
      <c r="W121">
        <v>462</v>
      </c>
      <c r="X121">
        <v>483.31599999999997</v>
      </c>
      <c r="Y121">
        <v>0</v>
      </c>
      <c r="Z121">
        <v>0</v>
      </c>
      <c r="AA121">
        <v>0</v>
      </c>
    </row>
    <row r="122" spans="7:36" x14ac:dyDescent="0.25">
      <c r="G122" s="18">
        <v>14</v>
      </c>
      <c r="H122">
        <v>0</v>
      </c>
      <c r="I122">
        <v>0</v>
      </c>
      <c r="J122">
        <v>55.211500000000001</v>
      </c>
      <c r="K122">
        <v>0</v>
      </c>
      <c r="L122">
        <v>281.62799999999999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16.224699999999999</v>
      </c>
      <c r="V122">
        <v>0</v>
      </c>
      <c r="W122">
        <v>124.081</v>
      </c>
      <c r="X122">
        <v>0</v>
      </c>
      <c r="Y122">
        <v>0</v>
      </c>
      <c r="Z122">
        <v>0</v>
      </c>
      <c r="AA122">
        <v>0</v>
      </c>
    </row>
    <row r="123" spans="7:36" x14ac:dyDescent="0.25">
      <c r="G123" s="18">
        <v>15</v>
      </c>
      <c r="H123">
        <v>0</v>
      </c>
      <c r="I123">
        <v>0</v>
      </c>
      <c r="J123">
        <v>0</v>
      </c>
      <c r="K123">
        <v>0</v>
      </c>
      <c r="L123">
        <v>586.41600000000005</v>
      </c>
      <c r="M123">
        <v>0</v>
      </c>
      <c r="N123">
        <v>0</v>
      </c>
      <c r="O123">
        <v>0</v>
      </c>
      <c r="P123">
        <v>75.201999999999998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54.181699999999999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7:36" x14ac:dyDescent="0.25">
      <c r="G124" s="18">
        <v>16</v>
      </c>
      <c r="H124">
        <v>0</v>
      </c>
      <c r="I124">
        <v>0</v>
      </c>
      <c r="J124">
        <v>0</v>
      </c>
      <c r="K124">
        <v>0</v>
      </c>
      <c r="L124">
        <v>141.273</v>
      </c>
      <c r="M124">
        <v>0</v>
      </c>
      <c r="N124">
        <v>0</v>
      </c>
      <c r="O124">
        <v>0</v>
      </c>
      <c r="P124">
        <v>73.909700000000001</v>
      </c>
      <c r="Q124">
        <v>0</v>
      </c>
      <c r="R124">
        <v>0</v>
      </c>
      <c r="S124">
        <v>119.318</v>
      </c>
      <c r="T124">
        <v>462</v>
      </c>
      <c r="U124">
        <v>124.081</v>
      </c>
      <c r="V124">
        <v>0</v>
      </c>
      <c r="W124">
        <v>52.335700000000003</v>
      </c>
      <c r="X124">
        <v>0</v>
      </c>
      <c r="Y124">
        <v>0</v>
      </c>
      <c r="Z124">
        <v>0</v>
      </c>
      <c r="AA124">
        <v>0</v>
      </c>
    </row>
    <row r="125" spans="7:36" x14ac:dyDescent="0.25">
      <c r="G125" s="18">
        <v>17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483.31599999999997</v>
      </c>
      <c r="U125">
        <v>0</v>
      </c>
      <c r="V125">
        <v>0</v>
      </c>
      <c r="W125">
        <v>0</v>
      </c>
      <c r="X125">
        <v>56.229300000000002</v>
      </c>
      <c r="Y125">
        <v>0</v>
      </c>
      <c r="Z125">
        <v>0</v>
      </c>
      <c r="AA125">
        <v>189.654</v>
      </c>
    </row>
    <row r="126" spans="7:36" x14ac:dyDescent="0.25">
      <c r="G126" s="18">
        <v>18</v>
      </c>
      <c r="H126">
        <v>165.74199999999999</v>
      </c>
      <c r="I126">
        <v>946.43</v>
      </c>
      <c r="J126">
        <v>0</v>
      </c>
      <c r="K126">
        <v>0</v>
      </c>
      <c r="L126">
        <v>0</v>
      </c>
      <c r="M126">
        <v>333.71100000000001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3.3882500000000002</v>
      </c>
      <c r="Z126">
        <v>405.721</v>
      </c>
      <c r="AA126">
        <v>0</v>
      </c>
    </row>
    <row r="127" spans="7:36" x14ac:dyDescent="0.25">
      <c r="G127" s="18">
        <v>19</v>
      </c>
      <c r="H127">
        <v>0</v>
      </c>
      <c r="I127">
        <v>0</v>
      </c>
      <c r="J127">
        <v>0</v>
      </c>
      <c r="K127">
        <v>158.386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325.70400000000001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405.721</v>
      </c>
      <c r="Z127">
        <v>7.5838700000000001</v>
      </c>
      <c r="AA127">
        <v>0</v>
      </c>
    </row>
    <row r="128" spans="7:36" ht="15.75" thickBot="1" x14ac:dyDescent="0.3">
      <c r="G128" s="19">
        <v>20</v>
      </c>
      <c r="H128">
        <v>0</v>
      </c>
      <c r="I128">
        <v>909.54300000000001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1034.73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189.654</v>
      </c>
      <c r="Y128">
        <v>0</v>
      </c>
      <c r="Z128">
        <v>0</v>
      </c>
      <c r="AA128">
        <v>1.8036700000000001</v>
      </c>
    </row>
    <row r="129" spans="7:52" x14ac:dyDescent="0.25">
      <c r="AB129" t="s">
        <v>35</v>
      </c>
    </row>
    <row r="130" spans="7:52" x14ac:dyDescent="0.25">
      <c r="AB130">
        <f>SUM(H109:AA128)</f>
        <v>24728.535159999999</v>
      </c>
    </row>
    <row r="131" spans="7:52" ht="15.75" thickBot="1" x14ac:dyDescent="0.3">
      <c r="H131" s="1" t="s">
        <v>36</v>
      </c>
    </row>
    <row r="132" spans="7:52" ht="15.75" thickBot="1" x14ac:dyDescent="0.3">
      <c r="H132" s="16">
        <v>1</v>
      </c>
      <c r="I132" s="20">
        <v>2</v>
      </c>
      <c r="J132" s="21">
        <v>3</v>
      </c>
      <c r="K132" s="21">
        <v>4</v>
      </c>
      <c r="L132" s="21">
        <v>5</v>
      </c>
      <c r="M132" s="21">
        <v>6</v>
      </c>
      <c r="N132" s="21">
        <v>7</v>
      </c>
      <c r="O132" s="21">
        <v>8</v>
      </c>
      <c r="P132" s="21">
        <v>9</v>
      </c>
      <c r="Q132" s="21">
        <v>10</v>
      </c>
      <c r="R132" s="21">
        <v>11</v>
      </c>
      <c r="S132" s="21">
        <v>12</v>
      </c>
      <c r="T132" s="21">
        <v>13</v>
      </c>
      <c r="U132" s="21">
        <v>14</v>
      </c>
      <c r="V132" s="21">
        <v>15</v>
      </c>
      <c r="W132" s="21">
        <v>16</v>
      </c>
      <c r="X132" s="21">
        <v>17</v>
      </c>
      <c r="Y132" s="21">
        <v>18</v>
      </c>
      <c r="Z132" s="21">
        <v>19</v>
      </c>
      <c r="AA132" s="22">
        <v>20</v>
      </c>
      <c r="AG132">
        <v>12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33</v>
      </c>
      <c r="AR132">
        <v>58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180</v>
      </c>
      <c r="AY132">
        <v>0</v>
      </c>
      <c r="AZ132">
        <v>0</v>
      </c>
    </row>
    <row r="133" spans="7:52" x14ac:dyDescent="0.25">
      <c r="G133" s="23">
        <v>1</v>
      </c>
      <c r="H133">
        <v>12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33</v>
      </c>
      <c r="S133">
        <v>58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180</v>
      </c>
      <c r="Z133">
        <v>0</v>
      </c>
      <c r="AA133">
        <v>0</v>
      </c>
      <c r="AG133">
        <v>0</v>
      </c>
      <c r="AH133">
        <v>71</v>
      </c>
      <c r="AI133">
        <v>251</v>
      </c>
      <c r="AJ133">
        <v>0</v>
      </c>
      <c r="AK133">
        <v>862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1011</v>
      </c>
      <c r="AT133">
        <v>0</v>
      </c>
      <c r="AU133">
        <v>0</v>
      </c>
      <c r="AV133">
        <v>0</v>
      </c>
      <c r="AW133">
        <v>0</v>
      </c>
      <c r="AX133">
        <v>956</v>
      </c>
      <c r="AY133">
        <v>0</v>
      </c>
      <c r="AZ133">
        <v>919</v>
      </c>
    </row>
    <row r="134" spans="7:52" x14ac:dyDescent="0.25">
      <c r="G134" s="17">
        <v>2</v>
      </c>
      <c r="H134">
        <v>0</v>
      </c>
      <c r="I134">
        <v>71</v>
      </c>
      <c r="J134">
        <v>251</v>
      </c>
      <c r="K134">
        <v>0</v>
      </c>
      <c r="L134">
        <v>862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1011</v>
      </c>
      <c r="U134">
        <v>0</v>
      </c>
      <c r="V134">
        <v>0</v>
      </c>
      <c r="W134">
        <v>0</v>
      </c>
      <c r="X134">
        <v>0</v>
      </c>
      <c r="Y134">
        <v>956</v>
      </c>
      <c r="Z134">
        <v>0</v>
      </c>
      <c r="AA134">
        <v>919</v>
      </c>
      <c r="AG134">
        <v>0</v>
      </c>
      <c r="AH134">
        <v>251</v>
      </c>
      <c r="AI134">
        <v>16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66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7:52" x14ac:dyDescent="0.25">
      <c r="G135" s="18">
        <v>3</v>
      </c>
      <c r="H135">
        <v>0</v>
      </c>
      <c r="I135">
        <v>251</v>
      </c>
      <c r="J135">
        <v>16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66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G135">
        <v>0</v>
      </c>
      <c r="AH135">
        <v>0</v>
      </c>
      <c r="AI135">
        <v>0</v>
      </c>
      <c r="AJ135">
        <v>8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26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172</v>
      </c>
      <c r="AZ135">
        <v>0</v>
      </c>
    </row>
    <row r="136" spans="7:52" x14ac:dyDescent="0.25">
      <c r="G136" s="18">
        <v>4</v>
      </c>
      <c r="H136">
        <v>0</v>
      </c>
      <c r="I136">
        <v>0</v>
      </c>
      <c r="J136">
        <v>0</v>
      </c>
      <c r="K136">
        <v>8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26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172</v>
      </c>
      <c r="AA136">
        <v>0</v>
      </c>
      <c r="AG136">
        <v>0</v>
      </c>
      <c r="AH136">
        <v>862</v>
      </c>
      <c r="AI136">
        <v>0</v>
      </c>
      <c r="AJ136">
        <v>0</v>
      </c>
      <c r="AK136">
        <v>52</v>
      </c>
      <c r="AL136">
        <v>0</v>
      </c>
      <c r="AM136">
        <v>0</v>
      </c>
      <c r="AN136">
        <v>265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296</v>
      </c>
      <c r="AU136">
        <v>600</v>
      </c>
      <c r="AV136">
        <v>155</v>
      </c>
      <c r="AW136">
        <v>0</v>
      </c>
      <c r="AX136">
        <v>0</v>
      </c>
      <c r="AY136">
        <v>0</v>
      </c>
      <c r="AZ136">
        <v>0</v>
      </c>
    </row>
    <row r="137" spans="7:52" x14ac:dyDescent="0.25">
      <c r="G137" s="18">
        <v>5</v>
      </c>
      <c r="H137">
        <v>0</v>
      </c>
      <c r="I137">
        <v>862</v>
      </c>
      <c r="J137">
        <v>0</v>
      </c>
      <c r="K137">
        <v>0</v>
      </c>
      <c r="L137">
        <v>52</v>
      </c>
      <c r="M137">
        <v>0</v>
      </c>
      <c r="N137">
        <v>0</v>
      </c>
      <c r="O137">
        <v>265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296</v>
      </c>
      <c r="V137">
        <v>600</v>
      </c>
      <c r="W137">
        <v>155</v>
      </c>
      <c r="X137">
        <v>0</v>
      </c>
      <c r="Y137">
        <v>0</v>
      </c>
      <c r="Z137">
        <v>0</v>
      </c>
      <c r="AA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20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348</v>
      </c>
      <c r="AY137">
        <v>0</v>
      </c>
      <c r="AZ137">
        <v>0</v>
      </c>
    </row>
    <row r="138" spans="7:52" x14ac:dyDescent="0.25">
      <c r="G138" s="18">
        <v>6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20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348</v>
      </c>
      <c r="Z138">
        <v>0</v>
      </c>
      <c r="AA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28</v>
      </c>
      <c r="AN138">
        <v>0</v>
      </c>
      <c r="AO138">
        <v>0</v>
      </c>
      <c r="AP138">
        <v>427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7:52" x14ac:dyDescent="0.25">
      <c r="G139" s="18">
        <v>7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28</v>
      </c>
      <c r="O139">
        <v>0</v>
      </c>
      <c r="P139">
        <v>0</v>
      </c>
      <c r="Q139">
        <v>427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G139">
        <v>0</v>
      </c>
      <c r="AH139">
        <v>0</v>
      </c>
      <c r="AI139">
        <v>0</v>
      </c>
      <c r="AJ139">
        <v>0</v>
      </c>
      <c r="AK139">
        <v>265</v>
      </c>
      <c r="AL139">
        <v>0</v>
      </c>
      <c r="AM139">
        <v>0</v>
      </c>
      <c r="AN139">
        <v>43</v>
      </c>
      <c r="AO139">
        <v>645</v>
      </c>
      <c r="AP139">
        <v>590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7:52" x14ac:dyDescent="0.25">
      <c r="G140" s="18">
        <v>8</v>
      </c>
      <c r="H140">
        <v>0</v>
      </c>
      <c r="I140">
        <v>0</v>
      </c>
      <c r="J140">
        <v>0</v>
      </c>
      <c r="K140">
        <v>0</v>
      </c>
      <c r="L140">
        <v>265</v>
      </c>
      <c r="M140">
        <v>0</v>
      </c>
      <c r="N140">
        <v>0</v>
      </c>
      <c r="O140">
        <v>43</v>
      </c>
      <c r="P140">
        <v>645</v>
      </c>
      <c r="Q140">
        <v>590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645</v>
      </c>
      <c r="AO140">
        <v>117</v>
      </c>
      <c r="AP140">
        <v>0</v>
      </c>
      <c r="AQ140">
        <v>0</v>
      </c>
      <c r="AR140">
        <v>336</v>
      </c>
      <c r="AS140">
        <v>0</v>
      </c>
      <c r="AT140">
        <v>0</v>
      </c>
      <c r="AU140">
        <v>87</v>
      </c>
      <c r="AV140">
        <v>86</v>
      </c>
      <c r="AW140">
        <v>0</v>
      </c>
      <c r="AX140">
        <v>0</v>
      </c>
      <c r="AY140">
        <v>0</v>
      </c>
      <c r="AZ140">
        <v>0</v>
      </c>
    </row>
    <row r="141" spans="7:52" x14ac:dyDescent="0.25">
      <c r="G141" s="18">
        <v>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645</v>
      </c>
      <c r="P141">
        <v>117</v>
      </c>
      <c r="Q141">
        <v>0</v>
      </c>
      <c r="R141">
        <v>0</v>
      </c>
      <c r="S141">
        <v>336</v>
      </c>
      <c r="T141">
        <v>0</v>
      </c>
      <c r="U141">
        <v>0</v>
      </c>
      <c r="V141">
        <v>87</v>
      </c>
      <c r="W141">
        <v>86</v>
      </c>
      <c r="X141">
        <v>0</v>
      </c>
      <c r="Y141">
        <v>0</v>
      </c>
      <c r="Z141">
        <v>0</v>
      </c>
      <c r="AA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427</v>
      </c>
      <c r="AN141">
        <v>590</v>
      </c>
      <c r="AO141">
        <v>0</v>
      </c>
      <c r="AP141">
        <v>20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1043</v>
      </c>
    </row>
    <row r="142" spans="7:52" x14ac:dyDescent="0.25">
      <c r="G142" s="18">
        <v>10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427</v>
      </c>
      <c r="O142">
        <v>590</v>
      </c>
      <c r="P142">
        <v>0</v>
      </c>
      <c r="Q142">
        <v>20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1043</v>
      </c>
      <c r="AG142">
        <v>33</v>
      </c>
      <c r="AH142">
        <v>0</v>
      </c>
      <c r="AI142">
        <v>0</v>
      </c>
      <c r="AJ142">
        <v>26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108</v>
      </c>
      <c r="AR142">
        <v>238</v>
      </c>
      <c r="AS142">
        <v>603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7:52" x14ac:dyDescent="0.25">
      <c r="G143" s="18">
        <v>11</v>
      </c>
      <c r="H143">
        <v>33</v>
      </c>
      <c r="I143">
        <v>0</v>
      </c>
      <c r="J143">
        <v>0</v>
      </c>
      <c r="K143">
        <v>26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108</v>
      </c>
      <c r="S143">
        <v>238</v>
      </c>
      <c r="T143">
        <v>603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G143">
        <v>58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336</v>
      </c>
      <c r="AP143">
        <v>0</v>
      </c>
      <c r="AQ143">
        <v>238</v>
      </c>
      <c r="AR143">
        <v>25</v>
      </c>
      <c r="AS143">
        <v>0</v>
      </c>
      <c r="AT143">
        <v>0</v>
      </c>
      <c r="AU143">
        <v>0</v>
      </c>
      <c r="AV143">
        <v>133</v>
      </c>
      <c r="AW143">
        <v>0</v>
      </c>
      <c r="AX143">
        <v>0</v>
      </c>
      <c r="AY143">
        <v>340</v>
      </c>
      <c r="AZ143">
        <v>0</v>
      </c>
    </row>
    <row r="144" spans="7:52" x14ac:dyDescent="0.25">
      <c r="G144" s="18">
        <v>12</v>
      </c>
      <c r="H144">
        <v>58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336</v>
      </c>
      <c r="Q144">
        <v>0</v>
      </c>
      <c r="R144">
        <v>238</v>
      </c>
      <c r="S144">
        <v>25</v>
      </c>
      <c r="T144">
        <v>0</v>
      </c>
      <c r="U144">
        <v>0</v>
      </c>
      <c r="V144">
        <v>0</v>
      </c>
      <c r="W144">
        <v>133</v>
      </c>
      <c r="X144">
        <v>0</v>
      </c>
      <c r="Y144">
        <v>0</v>
      </c>
      <c r="Z144">
        <v>340</v>
      </c>
      <c r="AA144">
        <v>0</v>
      </c>
      <c r="AG144">
        <v>0</v>
      </c>
      <c r="AH144">
        <v>1011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603</v>
      </c>
      <c r="AR144">
        <v>0</v>
      </c>
      <c r="AS144">
        <v>10</v>
      </c>
      <c r="AT144">
        <v>0</v>
      </c>
      <c r="AU144">
        <v>0</v>
      </c>
      <c r="AV144">
        <v>476</v>
      </c>
      <c r="AW144">
        <v>497</v>
      </c>
      <c r="AX144">
        <v>0</v>
      </c>
      <c r="AY144">
        <v>0</v>
      </c>
      <c r="AZ144">
        <v>0</v>
      </c>
    </row>
    <row r="145" spans="7:52" x14ac:dyDescent="0.25">
      <c r="G145" s="18">
        <v>13</v>
      </c>
      <c r="H145">
        <v>0</v>
      </c>
      <c r="I145">
        <v>1011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603</v>
      </c>
      <c r="S145">
        <v>0</v>
      </c>
      <c r="T145">
        <v>10</v>
      </c>
      <c r="U145">
        <v>0</v>
      </c>
      <c r="V145">
        <v>0</v>
      </c>
      <c r="W145">
        <v>476</v>
      </c>
      <c r="X145">
        <v>497</v>
      </c>
      <c r="Y145">
        <v>0</v>
      </c>
      <c r="Z145">
        <v>0</v>
      </c>
      <c r="AA145">
        <v>0</v>
      </c>
      <c r="AG145">
        <v>0</v>
      </c>
      <c r="AH145">
        <v>0</v>
      </c>
      <c r="AI145">
        <v>66</v>
      </c>
      <c r="AJ145">
        <v>0</v>
      </c>
      <c r="AK145">
        <v>296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24</v>
      </c>
      <c r="AU145">
        <v>0</v>
      </c>
      <c r="AV145">
        <v>138</v>
      </c>
      <c r="AW145">
        <v>0</v>
      </c>
      <c r="AX145">
        <v>0</v>
      </c>
      <c r="AY145">
        <v>0</v>
      </c>
      <c r="AZ145">
        <v>0</v>
      </c>
    </row>
    <row r="146" spans="7:52" x14ac:dyDescent="0.25">
      <c r="G146" s="18">
        <v>14</v>
      </c>
      <c r="H146">
        <v>0</v>
      </c>
      <c r="I146">
        <v>0</v>
      </c>
      <c r="J146">
        <v>66</v>
      </c>
      <c r="K146">
        <v>0</v>
      </c>
      <c r="L146">
        <v>296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24</v>
      </c>
      <c r="V146">
        <v>0</v>
      </c>
      <c r="W146">
        <v>138</v>
      </c>
      <c r="X146">
        <v>0</v>
      </c>
      <c r="Y146">
        <v>0</v>
      </c>
      <c r="Z146">
        <v>0</v>
      </c>
      <c r="AA146">
        <v>0</v>
      </c>
      <c r="AG146">
        <v>0</v>
      </c>
      <c r="AH146">
        <v>0</v>
      </c>
      <c r="AI146">
        <v>0</v>
      </c>
      <c r="AJ146">
        <v>0</v>
      </c>
      <c r="AK146">
        <v>600</v>
      </c>
      <c r="AL146">
        <v>0</v>
      </c>
      <c r="AM146">
        <v>0</v>
      </c>
      <c r="AN146">
        <v>0</v>
      </c>
      <c r="AO146">
        <v>87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65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7:52" x14ac:dyDescent="0.25">
      <c r="G147" s="18">
        <v>15</v>
      </c>
      <c r="H147">
        <v>0</v>
      </c>
      <c r="I147">
        <v>0</v>
      </c>
      <c r="J147">
        <v>0</v>
      </c>
      <c r="K147">
        <v>0</v>
      </c>
      <c r="L147">
        <v>600</v>
      </c>
      <c r="M147">
        <v>0</v>
      </c>
      <c r="N147">
        <v>0</v>
      </c>
      <c r="O147">
        <v>0</v>
      </c>
      <c r="P147">
        <v>87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65</v>
      </c>
      <c r="W147">
        <v>0</v>
      </c>
      <c r="X147">
        <v>0</v>
      </c>
      <c r="Y147">
        <v>0</v>
      </c>
      <c r="Z147">
        <v>0</v>
      </c>
      <c r="AA147">
        <v>0</v>
      </c>
      <c r="AG147">
        <v>0</v>
      </c>
      <c r="AH147">
        <v>0</v>
      </c>
      <c r="AI147">
        <v>0</v>
      </c>
      <c r="AJ147">
        <v>0</v>
      </c>
      <c r="AK147">
        <v>155</v>
      </c>
      <c r="AL147">
        <v>0</v>
      </c>
      <c r="AM147">
        <v>0</v>
      </c>
      <c r="AN147">
        <v>0</v>
      </c>
      <c r="AO147">
        <v>86</v>
      </c>
      <c r="AP147">
        <v>0</v>
      </c>
      <c r="AQ147">
        <v>0</v>
      </c>
      <c r="AR147">
        <v>133</v>
      </c>
      <c r="AS147">
        <v>476</v>
      </c>
      <c r="AT147">
        <v>138</v>
      </c>
      <c r="AU147">
        <v>0</v>
      </c>
      <c r="AV147">
        <v>63</v>
      </c>
      <c r="AW147">
        <v>0</v>
      </c>
      <c r="AX147">
        <v>0</v>
      </c>
      <c r="AY147">
        <v>0</v>
      </c>
      <c r="AZ147">
        <v>0</v>
      </c>
    </row>
    <row r="148" spans="7:52" x14ac:dyDescent="0.25">
      <c r="G148" s="18">
        <v>16</v>
      </c>
      <c r="H148">
        <v>0</v>
      </c>
      <c r="I148">
        <v>0</v>
      </c>
      <c r="J148">
        <v>0</v>
      </c>
      <c r="K148">
        <v>0</v>
      </c>
      <c r="L148">
        <v>155</v>
      </c>
      <c r="M148">
        <v>0</v>
      </c>
      <c r="N148">
        <v>0</v>
      </c>
      <c r="O148">
        <v>0</v>
      </c>
      <c r="P148">
        <v>86</v>
      </c>
      <c r="Q148">
        <v>0</v>
      </c>
      <c r="R148">
        <v>0</v>
      </c>
      <c r="S148">
        <v>133</v>
      </c>
      <c r="T148">
        <v>476</v>
      </c>
      <c r="U148">
        <v>138</v>
      </c>
      <c r="V148">
        <v>0</v>
      </c>
      <c r="W148">
        <v>63</v>
      </c>
      <c r="X148">
        <v>0</v>
      </c>
      <c r="Y148">
        <v>0</v>
      </c>
      <c r="Z148">
        <v>0</v>
      </c>
      <c r="AA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497</v>
      </c>
      <c r="AT148">
        <v>0</v>
      </c>
      <c r="AU148">
        <v>0</v>
      </c>
      <c r="AV148">
        <v>0</v>
      </c>
      <c r="AW148">
        <v>67</v>
      </c>
      <c r="AX148">
        <v>0</v>
      </c>
      <c r="AY148">
        <v>0</v>
      </c>
      <c r="AZ148">
        <v>204</v>
      </c>
    </row>
    <row r="149" spans="7:52" x14ac:dyDescent="0.25">
      <c r="G149" s="18">
        <v>17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497</v>
      </c>
      <c r="U149">
        <v>0</v>
      </c>
      <c r="V149">
        <v>0</v>
      </c>
      <c r="W149">
        <v>0</v>
      </c>
      <c r="X149">
        <v>67</v>
      </c>
      <c r="Y149">
        <v>0</v>
      </c>
      <c r="Z149">
        <v>0</v>
      </c>
      <c r="AA149">
        <v>204</v>
      </c>
      <c r="AG149">
        <v>180</v>
      </c>
      <c r="AH149">
        <v>956</v>
      </c>
      <c r="AI149">
        <v>0</v>
      </c>
      <c r="AJ149">
        <v>0</v>
      </c>
      <c r="AK149">
        <v>0</v>
      </c>
      <c r="AL149">
        <v>348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8</v>
      </c>
      <c r="AY149">
        <v>420</v>
      </c>
      <c r="AZ149">
        <v>0</v>
      </c>
    </row>
    <row r="150" spans="7:52" x14ac:dyDescent="0.25">
      <c r="G150" s="18">
        <v>18</v>
      </c>
      <c r="H150">
        <v>180</v>
      </c>
      <c r="I150">
        <v>956</v>
      </c>
      <c r="J150">
        <v>0</v>
      </c>
      <c r="K150">
        <v>0</v>
      </c>
      <c r="L150">
        <v>0</v>
      </c>
      <c r="M150">
        <v>348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8</v>
      </c>
      <c r="Z150">
        <v>420</v>
      </c>
      <c r="AA150">
        <v>0</v>
      </c>
      <c r="AG150">
        <v>0</v>
      </c>
      <c r="AH150">
        <v>0</v>
      </c>
      <c r="AI150">
        <v>0</v>
      </c>
      <c r="AJ150">
        <v>172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340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420</v>
      </c>
      <c r="AY150">
        <v>14</v>
      </c>
      <c r="AZ150">
        <v>0</v>
      </c>
    </row>
    <row r="151" spans="7:52" x14ac:dyDescent="0.25">
      <c r="G151" s="18">
        <v>19</v>
      </c>
      <c r="H151">
        <v>0</v>
      </c>
      <c r="I151">
        <v>0</v>
      </c>
      <c r="J151">
        <v>0</v>
      </c>
      <c r="K151">
        <v>172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340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420</v>
      </c>
      <c r="Z151">
        <v>14</v>
      </c>
      <c r="AA151">
        <v>0</v>
      </c>
      <c r="AG151">
        <v>0</v>
      </c>
      <c r="AH151">
        <v>919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1043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204</v>
      </c>
      <c r="AX151">
        <v>0</v>
      </c>
      <c r="AY151">
        <v>0</v>
      </c>
      <c r="AZ151">
        <v>6</v>
      </c>
    </row>
    <row r="152" spans="7:52" ht="15.75" thickBot="1" x14ac:dyDescent="0.3">
      <c r="G152" s="19">
        <v>20</v>
      </c>
      <c r="H152">
        <v>0</v>
      </c>
      <c r="I152">
        <v>919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1043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204</v>
      </c>
      <c r="Y152">
        <v>0</v>
      </c>
      <c r="Z152">
        <v>0</v>
      </c>
      <c r="AA152">
        <v>6</v>
      </c>
      <c r="AZ152">
        <f>SUM(AG132:AZ151)</f>
        <v>25699</v>
      </c>
    </row>
    <row r="153" spans="7:52" x14ac:dyDescent="0.25">
      <c r="AB153" t="s">
        <v>37</v>
      </c>
    </row>
    <row r="154" spans="7:52" x14ac:dyDescent="0.25">
      <c r="AB154">
        <f>SUM(H133:AA152)</f>
        <v>25699</v>
      </c>
    </row>
    <row r="155" spans="7:52" ht="15.75" thickBot="1" x14ac:dyDescent="0.3">
      <c r="H155" s="1" t="s">
        <v>39</v>
      </c>
    </row>
    <row r="156" spans="7:52" ht="15.75" thickBot="1" x14ac:dyDescent="0.3">
      <c r="H156" s="16">
        <v>1</v>
      </c>
      <c r="I156" s="20">
        <v>2</v>
      </c>
      <c r="J156" s="21">
        <v>3</v>
      </c>
      <c r="K156" s="21">
        <v>4</v>
      </c>
      <c r="L156" s="21">
        <v>5</v>
      </c>
      <c r="M156" s="21">
        <v>6</v>
      </c>
      <c r="N156" s="21">
        <v>7</v>
      </c>
      <c r="O156" s="21">
        <v>8</v>
      </c>
      <c r="P156" s="21">
        <v>9</v>
      </c>
      <c r="Q156" s="21">
        <v>10</v>
      </c>
      <c r="R156" s="21">
        <v>11</v>
      </c>
      <c r="S156" s="21">
        <v>12</v>
      </c>
      <c r="T156" s="21">
        <v>13</v>
      </c>
      <c r="U156" s="21">
        <v>14</v>
      </c>
      <c r="V156" s="21">
        <v>15</v>
      </c>
      <c r="W156" s="21">
        <v>16</v>
      </c>
      <c r="X156" s="21">
        <v>17</v>
      </c>
      <c r="Y156" s="21">
        <v>18</v>
      </c>
      <c r="Z156" s="21">
        <v>19</v>
      </c>
      <c r="AA156" s="22">
        <v>20</v>
      </c>
    </row>
    <row r="157" spans="7:52" x14ac:dyDescent="0.25">
      <c r="G157" s="23">
        <v>1</v>
      </c>
      <c r="H157" s="49">
        <v>1027200</v>
      </c>
      <c r="I157" s="49">
        <v>0</v>
      </c>
      <c r="J157" s="49">
        <v>0</v>
      </c>
      <c r="K157" s="49">
        <v>0</v>
      </c>
      <c r="L157" s="49">
        <v>0</v>
      </c>
      <c r="M157" s="49">
        <v>0</v>
      </c>
      <c r="N157" s="49">
        <v>0</v>
      </c>
      <c r="O157" s="49">
        <v>0</v>
      </c>
      <c r="P157" s="49">
        <v>0</v>
      </c>
      <c r="Q157" s="49">
        <v>0</v>
      </c>
      <c r="R157" s="49">
        <v>2824800</v>
      </c>
      <c r="S157" s="49">
        <v>4964800</v>
      </c>
      <c r="T157" s="49">
        <v>0</v>
      </c>
      <c r="U157" s="49">
        <v>0</v>
      </c>
      <c r="V157" s="49">
        <v>0</v>
      </c>
      <c r="W157" s="49">
        <v>0</v>
      </c>
      <c r="X157" s="49">
        <v>0</v>
      </c>
      <c r="Y157" s="49">
        <v>15408000</v>
      </c>
      <c r="Z157" s="49">
        <v>0</v>
      </c>
      <c r="AA157" s="49">
        <v>0</v>
      </c>
      <c r="AG157">
        <v>1027200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2824800</v>
      </c>
      <c r="AR157">
        <v>4964800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15408000</v>
      </c>
      <c r="AY157">
        <v>0</v>
      </c>
      <c r="AZ157">
        <v>0</v>
      </c>
    </row>
    <row r="158" spans="7:52" x14ac:dyDescent="0.25">
      <c r="G158" s="17">
        <v>2</v>
      </c>
      <c r="H158" s="49">
        <v>0</v>
      </c>
      <c r="I158" s="49">
        <v>6077600</v>
      </c>
      <c r="J158" s="49">
        <v>21485600</v>
      </c>
      <c r="K158" s="49">
        <v>0</v>
      </c>
      <c r="L158" s="49">
        <v>73787200</v>
      </c>
      <c r="M158" s="49">
        <v>0</v>
      </c>
      <c r="N158" s="49">
        <v>0</v>
      </c>
      <c r="O158" s="49">
        <v>0</v>
      </c>
      <c r="P158" s="49">
        <v>0</v>
      </c>
      <c r="Q158" s="49">
        <v>0</v>
      </c>
      <c r="R158" s="49">
        <v>0</v>
      </c>
      <c r="S158" s="49">
        <v>0</v>
      </c>
      <c r="T158" s="49">
        <v>86541600</v>
      </c>
      <c r="U158" s="49">
        <v>0</v>
      </c>
      <c r="V158" s="49">
        <v>0</v>
      </c>
      <c r="W158" s="49">
        <v>0</v>
      </c>
      <c r="X158" s="49">
        <v>0</v>
      </c>
      <c r="Y158" s="49">
        <v>81833600</v>
      </c>
      <c r="Z158" s="49">
        <v>0</v>
      </c>
      <c r="AA158" s="49">
        <v>78666400</v>
      </c>
      <c r="AG158">
        <v>0</v>
      </c>
      <c r="AH158">
        <v>6077600</v>
      </c>
      <c r="AI158">
        <v>21485600</v>
      </c>
      <c r="AJ158">
        <v>0</v>
      </c>
      <c r="AK158">
        <v>73787200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86541600</v>
      </c>
      <c r="AT158">
        <v>0</v>
      </c>
      <c r="AU158">
        <v>0</v>
      </c>
      <c r="AV158">
        <v>0</v>
      </c>
      <c r="AW158">
        <v>0</v>
      </c>
      <c r="AX158">
        <v>81833600</v>
      </c>
      <c r="AY158">
        <v>0</v>
      </c>
      <c r="AZ158">
        <v>78666400</v>
      </c>
    </row>
    <row r="159" spans="7:52" x14ac:dyDescent="0.25">
      <c r="G159" s="18">
        <v>3</v>
      </c>
      <c r="H159" s="49">
        <v>0</v>
      </c>
      <c r="I159" s="49">
        <v>21485600</v>
      </c>
      <c r="J159" s="49">
        <v>1369600</v>
      </c>
      <c r="K159" s="49">
        <v>0</v>
      </c>
      <c r="L159" s="49">
        <v>0</v>
      </c>
      <c r="M159" s="49">
        <v>0</v>
      </c>
      <c r="N159" s="49">
        <v>0</v>
      </c>
      <c r="O159" s="49">
        <v>0</v>
      </c>
      <c r="P159" s="49">
        <v>0</v>
      </c>
      <c r="Q159" s="49">
        <v>0</v>
      </c>
      <c r="R159" s="49">
        <v>0</v>
      </c>
      <c r="S159" s="49">
        <v>0</v>
      </c>
      <c r="T159" s="49">
        <v>0</v>
      </c>
      <c r="U159" s="49">
        <v>5649600</v>
      </c>
      <c r="V159" s="49">
        <v>0</v>
      </c>
      <c r="W159" s="49">
        <v>0</v>
      </c>
      <c r="X159" s="49">
        <v>0</v>
      </c>
      <c r="Y159" s="49">
        <v>0</v>
      </c>
      <c r="Z159" s="49">
        <v>0</v>
      </c>
      <c r="AA159" s="49">
        <v>0</v>
      </c>
      <c r="AG159">
        <v>0</v>
      </c>
      <c r="AH159">
        <v>21485600</v>
      </c>
      <c r="AI159">
        <v>1369600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5649600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7:52" x14ac:dyDescent="0.25">
      <c r="G160" s="18">
        <v>4</v>
      </c>
      <c r="H160" s="49">
        <v>0</v>
      </c>
      <c r="I160" s="49">
        <v>0</v>
      </c>
      <c r="J160" s="49">
        <v>0</v>
      </c>
      <c r="K160" s="49">
        <v>684800</v>
      </c>
      <c r="L160" s="49">
        <v>0</v>
      </c>
      <c r="M160" s="49">
        <v>0</v>
      </c>
      <c r="N160" s="49">
        <v>0</v>
      </c>
      <c r="O160" s="49">
        <v>0</v>
      </c>
      <c r="P160" s="49">
        <v>0</v>
      </c>
      <c r="Q160" s="49">
        <v>0</v>
      </c>
      <c r="R160" s="49">
        <v>2225600</v>
      </c>
      <c r="S160" s="49">
        <v>0</v>
      </c>
      <c r="T160" s="49">
        <v>0</v>
      </c>
      <c r="U160" s="49">
        <v>0</v>
      </c>
      <c r="V160" s="49">
        <v>0</v>
      </c>
      <c r="W160" s="49">
        <v>0</v>
      </c>
      <c r="X160" s="49">
        <v>0</v>
      </c>
      <c r="Y160" s="49">
        <v>0</v>
      </c>
      <c r="Z160" s="49">
        <v>14723200</v>
      </c>
      <c r="AA160" s="49">
        <v>0</v>
      </c>
      <c r="AG160">
        <v>0</v>
      </c>
      <c r="AH160">
        <v>0</v>
      </c>
      <c r="AI160">
        <v>0</v>
      </c>
      <c r="AJ160">
        <v>684800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2225600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14723200</v>
      </c>
      <c r="AZ160">
        <v>0</v>
      </c>
    </row>
    <row r="161" spans="7:52" x14ac:dyDescent="0.25">
      <c r="G161" s="18">
        <v>5</v>
      </c>
      <c r="H161" s="49">
        <v>0</v>
      </c>
      <c r="I161" s="49">
        <v>73787200</v>
      </c>
      <c r="J161" s="49">
        <v>0</v>
      </c>
      <c r="K161" s="49">
        <v>0</v>
      </c>
      <c r="L161" s="49">
        <v>4451200</v>
      </c>
      <c r="M161" s="49">
        <v>0</v>
      </c>
      <c r="N161" s="49">
        <v>0</v>
      </c>
      <c r="O161" s="49">
        <v>22684000</v>
      </c>
      <c r="P161" s="49">
        <v>0</v>
      </c>
      <c r="Q161" s="49">
        <v>0</v>
      </c>
      <c r="R161" s="49">
        <v>0</v>
      </c>
      <c r="S161" s="49">
        <v>0</v>
      </c>
      <c r="T161" s="49">
        <v>0</v>
      </c>
      <c r="U161" s="49">
        <v>25337600</v>
      </c>
      <c r="V161" s="49">
        <v>51360000</v>
      </c>
      <c r="W161" s="49">
        <v>13268000</v>
      </c>
      <c r="X161" s="49">
        <v>0</v>
      </c>
      <c r="Y161" s="49">
        <v>0</v>
      </c>
      <c r="Z161" s="49">
        <v>0</v>
      </c>
      <c r="AA161" s="49">
        <v>0</v>
      </c>
      <c r="AG161">
        <v>0</v>
      </c>
      <c r="AH161">
        <v>73787200</v>
      </c>
      <c r="AI161">
        <v>0</v>
      </c>
      <c r="AJ161">
        <v>0</v>
      </c>
      <c r="AK161">
        <v>4451200</v>
      </c>
      <c r="AL161">
        <v>0</v>
      </c>
      <c r="AM161">
        <v>0</v>
      </c>
      <c r="AN161">
        <v>22684000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25337600</v>
      </c>
      <c r="AU161">
        <v>51360000</v>
      </c>
      <c r="AV161">
        <v>13268000</v>
      </c>
      <c r="AW161">
        <v>0</v>
      </c>
      <c r="AX161">
        <v>0</v>
      </c>
      <c r="AY161">
        <v>0</v>
      </c>
      <c r="AZ161">
        <v>0</v>
      </c>
    </row>
    <row r="162" spans="7:52" x14ac:dyDescent="0.25">
      <c r="G162" s="18">
        <v>6</v>
      </c>
      <c r="H162" s="49">
        <v>0</v>
      </c>
      <c r="I162" s="49">
        <v>0</v>
      </c>
      <c r="J162" s="49">
        <v>0</v>
      </c>
      <c r="K162" s="49">
        <v>0</v>
      </c>
      <c r="L162" s="49">
        <v>0</v>
      </c>
      <c r="M162" s="49">
        <v>1712000</v>
      </c>
      <c r="N162" s="49">
        <v>0</v>
      </c>
      <c r="O162" s="49">
        <v>0</v>
      </c>
      <c r="P162" s="49">
        <v>0</v>
      </c>
      <c r="Q162" s="49">
        <v>0</v>
      </c>
      <c r="R162" s="49">
        <v>0</v>
      </c>
      <c r="S162" s="49">
        <v>0</v>
      </c>
      <c r="T162" s="49">
        <v>0</v>
      </c>
      <c r="U162" s="49">
        <v>0</v>
      </c>
      <c r="V162" s="49">
        <v>0</v>
      </c>
      <c r="W162" s="49">
        <v>0</v>
      </c>
      <c r="X162" s="49">
        <v>0</v>
      </c>
      <c r="Y162" s="49">
        <v>29788800</v>
      </c>
      <c r="Z162" s="49">
        <v>0</v>
      </c>
      <c r="AA162" s="49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1712000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29788800</v>
      </c>
      <c r="AY162">
        <v>0</v>
      </c>
      <c r="AZ162">
        <v>0</v>
      </c>
    </row>
    <row r="163" spans="7:52" x14ac:dyDescent="0.25">
      <c r="G163" s="18">
        <v>7</v>
      </c>
      <c r="H163" s="49">
        <v>0</v>
      </c>
      <c r="I163" s="49">
        <v>0</v>
      </c>
      <c r="J163" s="49">
        <v>0</v>
      </c>
      <c r="K163" s="49">
        <v>0</v>
      </c>
      <c r="L163" s="49">
        <v>0</v>
      </c>
      <c r="M163" s="49">
        <v>0</v>
      </c>
      <c r="N163" s="49">
        <v>2396800</v>
      </c>
      <c r="O163" s="49">
        <v>0</v>
      </c>
      <c r="P163" s="49">
        <v>0</v>
      </c>
      <c r="Q163" s="49">
        <v>36551200</v>
      </c>
      <c r="R163" s="49">
        <v>0</v>
      </c>
      <c r="S163" s="49">
        <v>0</v>
      </c>
      <c r="T163" s="49">
        <v>0</v>
      </c>
      <c r="U163" s="49">
        <v>0</v>
      </c>
      <c r="V163" s="49">
        <v>0</v>
      </c>
      <c r="W163" s="49">
        <v>0</v>
      </c>
      <c r="X163" s="49">
        <v>0</v>
      </c>
      <c r="Y163" s="49">
        <v>0</v>
      </c>
      <c r="Z163" s="49">
        <v>0</v>
      </c>
      <c r="AA163" s="49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2396800</v>
      </c>
      <c r="AN163">
        <v>0</v>
      </c>
      <c r="AO163">
        <v>0</v>
      </c>
      <c r="AP163">
        <v>36551200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7:52" x14ac:dyDescent="0.25">
      <c r="G164" s="18">
        <v>8</v>
      </c>
      <c r="H164" s="49">
        <v>0</v>
      </c>
      <c r="I164" s="49">
        <v>0</v>
      </c>
      <c r="J164" s="49">
        <v>0</v>
      </c>
      <c r="K164" s="49">
        <v>0</v>
      </c>
      <c r="L164" s="49">
        <v>22684000</v>
      </c>
      <c r="M164" s="49">
        <v>0</v>
      </c>
      <c r="N164" s="49">
        <v>0</v>
      </c>
      <c r="O164" s="49">
        <v>3680800</v>
      </c>
      <c r="P164" s="49">
        <v>55212000</v>
      </c>
      <c r="Q164" s="49">
        <v>50504000</v>
      </c>
      <c r="R164" s="49">
        <v>0</v>
      </c>
      <c r="S164" s="49">
        <v>0</v>
      </c>
      <c r="T164" s="49">
        <v>0</v>
      </c>
      <c r="U164" s="49">
        <v>0</v>
      </c>
      <c r="V164" s="49">
        <v>0</v>
      </c>
      <c r="W164" s="49">
        <v>0</v>
      </c>
      <c r="X164" s="49">
        <v>0</v>
      </c>
      <c r="Y164" s="49">
        <v>0</v>
      </c>
      <c r="Z164" s="49">
        <v>0</v>
      </c>
      <c r="AA164" s="49">
        <v>0</v>
      </c>
      <c r="AG164">
        <v>0</v>
      </c>
      <c r="AH164">
        <v>0</v>
      </c>
      <c r="AI164">
        <v>0</v>
      </c>
      <c r="AJ164">
        <v>0</v>
      </c>
      <c r="AK164">
        <v>22684000</v>
      </c>
      <c r="AL164">
        <v>0</v>
      </c>
      <c r="AM164">
        <v>0</v>
      </c>
      <c r="AN164">
        <v>3680800</v>
      </c>
      <c r="AO164">
        <v>55212000</v>
      </c>
      <c r="AP164">
        <v>50504000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7:52" x14ac:dyDescent="0.25">
      <c r="G165" s="18">
        <v>9</v>
      </c>
      <c r="H165" s="49">
        <v>0</v>
      </c>
      <c r="I165" s="49">
        <v>0</v>
      </c>
      <c r="J165" s="49">
        <v>0</v>
      </c>
      <c r="K165" s="49">
        <v>0</v>
      </c>
      <c r="L165" s="49">
        <v>0</v>
      </c>
      <c r="M165" s="49">
        <v>0</v>
      </c>
      <c r="N165" s="49">
        <v>0</v>
      </c>
      <c r="O165" s="49">
        <v>55212000</v>
      </c>
      <c r="P165" s="49">
        <v>10015200</v>
      </c>
      <c r="Q165" s="49">
        <v>0</v>
      </c>
      <c r="R165" s="49">
        <v>0</v>
      </c>
      <c r="S165" s="49">
        <v>28761600</v>
      </c>
      <c r="T165" s="49">
        <v>0</v>
      </c>
      <c r="U165" s="49">
        <v>0</v>
      </c>
      <c r="V165" s="49">
        <v>7447200</v>
      </c>
      <c r="W165" s="49">
        <v>7361600</v>
      </c>
      <c r="X165" s="49">
        <v>0</v>
      </c>
      <c r="Y165" s="49">
        <v>0</v>
      </c>
      <c r="Z165" s="49">
        <v>0</v>
      </c>
      <c r="AA165" s="49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55212000</v>
      </c>
      <c r="AO165">
        <v>10015200</v>
      </c>
      <c r="AP165">
        <v>0</v>
      </c>
      <c r="AQ165">
        <v>0</v>
      </c>
      <c r="AR165">
        <v>28761600</v>
      </c>
      <c r="AS165">
        <v>0</v>
      </c>
      <c r="AT165">
        <v>0</v>
      </c>
      <c r="AU165">
        <v>7447200</v>
      </c>
      <c r="AV165">
        <v>7361600</v>
      </c>
      <c r="AW165">
        <v>0</v>
      </c>
      <c r="AX165">
        <v>0</v>
      </c>
      <c r="AY165">
        <v>0</v>
      </c>
      <c r="AZ165">
        <v>0</v>
      </c>
    </row>
    <row r="166" spans="7:52" x14ac:dyDescent="0.25">
      <c r="G166" s="18">
        <v>10</v>
      </c>
      <c r="H166" s="49">
        <v>0</v>
      </c>
      <c r="I166" s="49">
        <v>0</v>
      </c>
      <c r="J166" s="49">
        <v>0</v>
      </c>
      <c r="K166" s="49">
        <v>0</v>
      </c>
      <c r="L166" s="49">
        <v>0</v>
      </c>
      <c r="M166" s="49">
        <v>0</v>
      </c>
      <c r="N166" s="49">
        <v>36551200</v>
      </c>
      <c r="O166" s="49">
        <v>50504000</v>
      </c>
      <c r="P166" s="49">
        <v>0</v>
      </c>
      <c r="Q166" s="49">
        <v>1712000</v>
      </c>
      <c r="R166" s="49">
        <v>0</v>
      </c>
      <c r="S166" s="49">
        <v>0</v>
      </c>
      <c r="T166" s="49">
        <v>0</v>
      </c>
      <c r="U166" s="49">
        <v>0</v>
      </c>
      <c r="V166" s="49">
        <v>0</v>
      </c>
      <c r="W166" s="49">
        <v>0</v>
      </c>
      <c r="X166" s="49">
        <v>0</v>
      </c>
      <c r="Y166" s="49">
        <v>0</v>
      </c>
      <c r="Z166" s="49">
        <v>0</v>
      </c>
      <c r="AA166" s="49">
        <v>89280800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36551200</v>
      </c>
      <c r="AN166">
        <v>50504000</v>
      </c>
      <c r="AO166">
        <v>0</v>
      </c>
      <c r="AP166">
        <v>1712000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89280800</v>
      </c>
    </row>
    <row r="167" spans="7:52" x14ac:dyDescent="0.25">
      <c r="G167" s="18">
        <v>11</v>
      </c>
      <c r="H167" s="49">
        <v>2824800</v>
      </c>
      <c r="I167" s="49">
        <v>0</v>
      </c>
      <c r="J167" s="49">
        <v>0</v>
      </c>
      <c r="K167" s="49">
        <v>2225600</v>
      </c>
      <c r="L167" s="49">
        <v>0</v>
      </c>
      <c r="M167" s="49">
        <v>0</v>
      </c>
      <c r="N167" s="49">
        <v>0</v>
      </c>
      <c r="O167" s="49">
        <v>0</v>
      </c>
      <c r="P167" s="49">
        <v>0</v>
      </c>
      <c r="Q167" s="49">
        <v>0</v>
      </c>
      <c r="R167" s="49">
        <v>9244800</v>
      </c>
      <c r="S167" s="49">
        <v>20372800</v>
      </c>
      <c r="T167" s="49">
        <v>51616800</v>
      </c>
      <c r="U167" s="49">
        <v>0</v>
      </c>
      <c r="V167" s="49">
        <v>0</v>
      </c>
      <c r="W167" s="49">
        <v>0</v>
      </c>
      <c r="X167" s="49">
        <v>0</v>
      </c>
      <c r="Y167" s="49">
        <v>0</v>
      </c>
      <c r="Z167" s="49">
        <v>0</v>
      </c>
      <c r="AA167" s="49">
        <v>0</v>
      </c>
      <c r="AG167">
        <v>2824800</v>
      </c>
      <c r="AH167">
        <v>0</v>
      </c>
      <c r="AI167">
        <v>0</v>
      </c>
      <c r="AJ167">
        <v>2225600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9244800</v>
      </c>
      <c r="AR167">
        <v>20372800</v>
      </c>
      <c r="AS167">
        <v>51616800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7:52" x14ac:dyDescent="0.25">
      <c r="G168" s="18">
        <v>12</v>
      </c>
      <c r="H168" s="49">
        <v>4964800</v>
      </c>
      <c r="I168" s="49">
        <v>0</v>
      </c>
      <c r="J168" s="49">
        <v>0</v>
      </c>
      <c r="K168" s="49">
        <v>0</v>
      </c>
      <c r="L168" s="49">
        <v>0</v>
      </c>
      <c r="M168" s="49">
        <v>0</v>
      </c>
      <c r="N168" s="49">
        <v>0</v>
      </c>
      <c r="O168" s="49">
        <v>0</v>
      </c>
      <c r="P168" s="49">
        <v>28761600</v>
      </c>
      <c r="Q168" s="49">
        <v>0</v>
      </c>
      <c r="R168" s="49">
        <v>20372800</v>
      </c>
      <c r="S168" s="49">
        <v>2140000</v>
      </c>
      <c r="T168" s="49">
        <v>0</v>
      </c>
      <c r="U168" s="49">
        <v>0</v>
      </c>
      <c r="V168" s="49">
        <v>0</v>
      </c>
      <c r="W168" s="49">
        <v>11384800</v>
      </c>
      <c r="X168" s="49">
        <v>0</v>
      </c>
      <c r="Y168" s="49">
        <v>0</v>
      </c>
      <c r="Z168" s="49">
        <v>29104000</v>
      </c>
      <c r="AA168" s="49">
        <v>0</v>
      </c>
      <c r="AG168">
        <v>4964800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28761600</v>
      </c>
      <c r="AP168">
        <v>0</v>
      </c>
      <c r="AQ168">
        <v>20372800</v>
      </c>
      <c r="AR168">
        <v>2140000</v>
      </c>
      <c r="AS168">
        <v>0</v>
      </c>
      <c r="AT168">
        <v>0</v>
      </c>
      <c r="AU168">
        <v>0</v>
      </c>
      <c r="AV168">
        <v>11384800</v>
      </c>
      <c r="AW168">
        <v>0</v>
      </c>
      <c r="AX168">
        <v>0</v>
      </c>
      <c r="AY168">
        <v>29104000</v>
      </c>
      <c r="AZ168">
        <v>0</v>
      </c>
    </row>
    <row r="169" spans="7:52" x14ac:dyDescent="0.25">
      <c r="G169" s="18">
        <v>13</v>
      </c>
      <c r="H169" s="49">
        <v>0</v>
      </c>
      <c r="I169" s="49">
        <v>86541600</v>
      </c>
      <c r="J169" s="49">
        <v>0</v>
      </c>
      <c r="K169" s="49">
        <v>0</v>
      </c>
      <c r="L169" s="49">
        <v>0</v>
      </c>
      <c r="M169" s="49">
        <v>0</v>
      </c>
      <c r="N169" s="49">
        <v>0</v>
      </c>
      <c r="O169" s="49">
        <v>0</v>
      </c>
      <c r="P169" s="49">
        <v>0</v>
      </c>
      <c r="Q169" s="49">
        <v>0</v>
      </c>
      <c r="R169" s="49">
        <v>51616800</v>
      </c>
      <c r="S169" s="49">
        <v>0</v>
      </c>
      <c r="T169" s="49">
        <v>856000</v>
      </c>
      <c r="U169" s="49">
        <v>0</v>
      </c>
      <c r="V169" s="49">
        <v>0</v>
      </c>
      <c r="W169" s="49">
        <v>40745600</v>
      </c>
      <c r="X169" s="49">
        <v>42543200</v>
      </c>
      <c r="Y169" s="49">
        <v>0</v>
      </c>
      <c r="Z169" s="49">
        <v>0</v>
      </c>
      <c r="AA169" s="49">
        <v>0</v>
      </c>
      <c r="AG169">
        <v>0</v>
      </c>
      <c r="AH169">
        <v>86541600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51616800</v>
      </c>
      <c r="AR169">
        <v>0</v>
      </c>
      <c r="AS169">
        <v>856000</v>
      </c>
      <c r="AT169">
        <v>0</v>
      </c>
      <c r="AU169">
        <v>0</v>
      </c>
      <c r="AV169">
        <v>40745600</v>
      </c>
      <c r="AW169">
        <v>42543200</v>
      </c>
      <c r="AX169">
        <v>0</v>
      </c>
      <c r="AY169">
        <v>0</v>
      </c>
      <c r="AZ169">
        <v>0</v>
      </c>
    </row>
    <row r="170" spans="7:52" x14ac:dyDescent="0.25">
      <c r="G170" s="18">
        <v>14</v>
      </c>
      <c r="H170" s="49">
        <v>0</v>
      </c>
      <c r="I170" s="49">
        <v>0</v>
      </c>
      <c r="J170" s="49">
        <v>5649600</v>
      </c>
      <c r="K170" s="49">
        <v>0</v>
      </c>
      <c r="L170" s="49">
        <v>25337600</v>
      </c>
      <c r="M170" s="49">
        <v>0</v>
      </c>
      <c r="N170" s="49">
        <v>0</v>
      </c>
      <c r="O170" s="49">
        <v>0</v>
      </c>
      <c r="P170" s="49">
        <v>0</v>
      </c>
      <c r="Q170" s="49">
        <v>0</v>
      </c>
      <c r="R170" s="49">
        <v>0</v>
      </c>
      <c r="S170" s="49">
        <v>0</v>
      </c>
      <c r="T170" s="49">
        <v>0</v>
      </c>
      <c r="U170" s="49">
        <v>2054400</v>
      </c>
      <c r="V170" s="49">
        <v>0</v>
      </c>
      <c r="W170" s="49">
        <v>11812800</v>
      </c>
      <c r="X170" s="49">
        <v>0</v>
      </c>
      <c r="Y170" s="49">
        <v>0</v>
      </c>
      <c r="Z170" s="49">
        <v>0</v>
      </c>
      <c r="AA170" s="49">
        <v>0</v>
      </c>
      <c r="AG170">
        <v>0</v>
      </c>
      <c r="AH170">
        <v>0</v>
      </c>
      <c r="AI170">
        <v>5649600</v>
      </c>
      <c r="AJ170">
        <v>0</v>
      </c>
      <c r="AK170">
        <v>25337600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2054400</v>
      </c>
      <c r="AU170">
        <v>0</v>
      </c>
      <c r="AV170">
        <v>11812800</v>
      </c>
      <c r="AW170">
        <v>0</v>
      </c>
      <c r="AX170">
        <v>0</v>
      </c>
      <c r="AY170">
        <v>0</v>
      </c>
      <c r="AZ170">
        <v>0</v>
      </c>
    </row>
    <row r="171" spans="7:52" x14ac:dyDescent="0.25">
      <c r="G171" s="18">
        <v>15</v>
      </c>
      <c r="H171" s="49">
        <v>0</v>
      </c>
      <c r="I171" s="49">
        <v>0</v>
      </c>
      <c r="J171" s="49">
        <v>0</v>
      </c>
      <c r="K171" s="49">
        <v>0</v>
      </c>
      <c r="L171" s="49">
        <v>51360000</v>
      </c>
      <c r="M171" s="49">
        <v>0</v>
      </c>
      <c r="N171" s="49">
        <v>0</v>
      </c>
      <c r="O171" s="49">
        <v>0</v>
      </c>
      <c r="P171" s="49">
        <v>7447200</v>
      </c>
      <c r="Q171" s="49">
        <v>0</v>
      </c>
      <c r="R171" s="49">
        <v>0</v>
      </c>
      <c r="S171" s="49">
        <v>0</v>
      </c>
      <c r="T171" s="49">
        <v>0</v>
      </c>
      <c r="U171" s="49">
        <v>0</v>
      </c>
      <c r="V171" s="49">
        <v>5564000</v>
      </c>
      <c r="W171" s="49">
        <v>0</v>
      </c>
      <c r="X171" s="49">
        <v>0</v>
      </c>
      <c r="Y171" s="49">
        <v>0</v>
      </c>
      <c r="Z171" s="49">
        <v>0</v>
      </c>
      <c r="AA171" s="49">
        <v>0</v>
      </c>
      <c r="AG171">
        <v>0</v>
      </c>
      <c r="AH171">
        <v>0</v>
      </c>
      <c r="AI171">
        <v>0</v>
      </c>
      <c r="AJ171">
        <v>0</v>
      </c>
      <c r="AK171">
        <v>51360000</v>
      </c>
      <c r="AL171">
        <v>0</v>
      </c>
      <c r="AM171">
        <v>0</v>
      </c>
      <c r="AN171">
        <v>0</v>
      </c>
      <c r="AO171">
        <v>7447200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5564000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7:52" x14ac:dyDescent="0.25">
      <c r="G172" s="18">
        <v>16</v>
      </c>
      <c r="H172" s="49">
        <v>0</v>
      </c>
      <c r="I172" s="49">
        <v>0</v>
      </c>
      <c r="J172" s="49">
        <v>0</v>
      </c>
      <c r="K172" s="49">
        <v>0</v>
      </c>
      <c r="L172" s="49">
        <v>13268000</v>
      </c>
      <c r="M172" s="49">
        <v>0</v>
      </c>
      <c r="N172" s="49">
        <v>0</v>
      </c>
      <c r="O172" s="49">
        <v>0</v>
      </c>
      <c r="P172" s="49">
        <v>7361600</v>
      </c>
      <c r="Q172" s="49">
        <v>0</v>
      </c>
      <c r="R172" s="49">
        <v>0</v>
      </c>
      <c r="S172" s="49">
        <v>11384800</v>
      </c>
      <c r="T172" s="49">
        <v>40745600</v>
      </c>
      <c r="U172" s="49">
        <v>11812800</v>
      </c>
      <c r="V172" s="49">
        <v>0</v>
      </c>
      <c r="W172" s="49">
        <v>5392800</v>
      </c>
      <c r="X172" s="49">
        <v>0</v>
      </c>
      <c r="Y172" s="49">
        <v>0</v>
      </c>
      <c r="Z172" s="49">
        <v>0</v>
      </c>
      <c r="AA172" s="49">
        <v>0</v>
      </c>
      <c r="AG172">
        <v>0</v>
      </c>
      <c r="AH172">
        <v>0</v>
      </c>
      <c r="AI172">
        <v>0</v>
      </c>
      <c r="AJ172">
        <v>0</v>
      </c>
      <c r="AK172">
        <v>13268000</v>
      </c>
      <c r="AL172">
        <v>0</v>
      </c>
      <c r="AM172">
        <v>0</v>
      </c>
      <c r="AN172">
        <v>0</v>
      </c>
      <c r="AO172">
        <v>7361600</v>
      </c>
      <c r="AP172">
        <v>0</v>
      </c>
      <c r="AQ172">
        <v>0</v>
      </c>
      <c r="AR172">
        <v>11384800</v>
      </c>
      <c r="AS172">
        <v>40745600</v>
      </c>
      <c r="AT172">
        <v>11812800</v>
      </c>
      <c r="AU172">
        <v>0</v>
      </c>
      <c r="AV172">
        <v>5392800</v>
      </c>
      <c r="AW172">
        <v>0</v>
      </c>
      <c r="AX172">
        <v>0</v>
      </c>
      <c r="AY172">
        <v>0</v>
      </c>
      <c r="AZ172">
        <v>0</v>
      </c>
    </row>
    <row r="173" spans="7:52" x14ac:dyDescent="0.25">
      <c r="G173" s="18">
        <v>17</v>
      </c>
      <c r="H173" s="49">
        <v>0</v>
      </c>
      <c r="I173" s="49">
        <v>0</v>
      </c>
      <c r="J173" s="49">
        <v>0</v>
      </c>
      <c r="K173" s="49">
        <v>0</v>
      </c>
      <c r="L173" s="49">
        <v>0</v>
      </c>
      <c r="M173" s="49">
        <v>0</v>
      </c>
      <c r="N173" s="49">
        <v>0</v>
      </c>
      <c r="O173" s="49">
        <v>0</v>
      </c>
      <c r="P173" s="49">
        <v>0</v>
      </c>
      <c r="Q173" s="49">
        <v>0</v>
      </c>
      <c r="R173" s="49">
        <v>0</v>
      </c>
      <c r="S173" s="49">
        <v>0</v>
      </c>
      <c r="T173" s="49">
        <v>42543200</v>
      </c>
      <c r="U173" s="49">
        <v>0</v>
      </c>
      <c r="V173" s="49">
        <v>0</v>
      </c>
      <c r="W173" s="49">
        <v>0</v>
      </c>
      <c r="X173" s="49">
        <v>5735200</v>
      </c>
      <c r="Y173" s="49">
        <v>0</v>
      </c>
      <c r="Z173" s="49">
        <v>0</v>
      </c>
      <c r="AA173" s="49">
        <v>17462400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42543200</v>
      </c>
      <c r="AT173">
        <v>0</v>
      </c>
      <c r="AU173">
        <v>0</v>
      </c>
      <c r="AV173">
        <v>0</v>
      </c>
      <c r="AW173">
        <v>5735200</v>
      </c>
      <c r="AX173">
        <v>0</v>
      </c>
      <c r="AY173">
        <v>0</v>
      </c>
      <c r="AZ173">
        <v>17462400</v>
      </c>
    </row>
    <row r="174" spans="7:52" x14ac:dyDescent="0.25">
      <c r="G174" s="18">
        <v>18</v>
      </c>
      <c r="H174" s="49">
        <v>15408000</v>
      </c>
      <c r="I174" s="49">
        <v>81833600</v>
      </c>
      <c r="J174" s="49">
        <v>0</v>
      </c>
      <c r="K174" s="49">
        <v>0</v>
      </c>
      <c r="L174" s="49">
        <v>0</v>
      </c>
      <c r="M174" s="49">
        <v>29788800</v>
      </c>
      <c r="N174" s="49">
        <v>0</v>
      </c>
      <c r="O174" s="49">
        <v>0</v>
      </c>
      <c r="P174" s="49">
        <v>0</v>
      </c>
      <c r="Q174" s="49">
        <v>0</v>
      </c>
      <c r="R174" s="49">
        <v>0</v>
      </c>
      <c r="S174" s="49">
        <v>0</v>
      </c>
      <c r="T174" s="49">
        <v>0</v>
      </c>
      <c r="U174" s="49">
        <v>0</v>
      </c>
      <c r="V174" s="49">
        <v>0</v>
      </c>
      <c r="W174" s="49">
        <v>0</v>
      </c>
      <c r="X174" s="49">
        <v>0</v>
      </c>
      <c r="Y174" s="49">
        <v>684800</v>
      </c>
      <c r="Z174" s="49">
        <v>35952000</v>
      </c>
      <c r="AA174" s="49">
        <v>0</v>
      </c>
      <c r="AG174">
        <v>15408000</v>
      </c>
      <c r="AH174">
        <v>81833600</v>
      </c>
      <c r="AI174">
        <v>0</v>
      </c>
      <c r="AJ174">
        <v>0</v>
      </c>
      <c r="AK174">
        <v>0</v>
      </c>
      <c r="AL174">
        <v>29788800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684800</v>
      </c>
      <c r="AY174">
        <v>35952000</v>
      </c>
      <c r="AZ174">
        <v>0</v>
      </c>
    </row>
    <row r="175" spans="7:52" x14ac:dyDescent="0.25">
      <c r="G175" s="18">
        <v>19</v>
      </c>
      <c r="H175" s="49">
        <v>0</v>
      </c>
      <c r="I175" s="49">
        <v>0</v>
      </c>
      <c r="J175" s="49">
        <v>0</v>
      </c>
      <c r="K175" s="49">
        <v>14723200</v>
      </c>
      <c r="L175" s="49">
        <v>0</v>
      </c>
      <c r="M175" s="49">
        <v>0</v>
      </c>
      <c r="N175" s="49">
        <v>0</v>
      </c>
      <c r="O175" s="49">
        <v>0</v>
      </c>
      <c r="P175" s="49">
        <v>0</v>
      </c>
      <c r="Q175" s="49">
        <v>0</v>
      </c>
      <c r="R175" s="49">
        <v>0</v>
      </c>
      <c r="S175" s="49">
        <v>29104000</v>
      </c>
      <c r="T175" s="49">
        <v>0</v>
      </c>
      <c r="U175" s="49">
        <v>0</v>
      </c>
      <c r="V175" s="49">
        <v>0</v>
      </c>
      <c r="W175" s="49">
        <v>0</v>
      </c>
      <c r="X175" s="49">
        <v>0</v>
      </c>
      <c r="Y175" s="49">
        <v>35952000</v>
      </c>
      <c r="Z175" s="49">
        <v>1198400</v>
      </c>
      <c r="AA175" s="49">
        <v>0</v>
      </c>
      <c r="AG175">
        <v>0</v>
      </c>
      <c r="AH175">
        <v>0</v>
      </c>
      <c r="AI175">
        <v>0</v>
      </c>
      <c r="AJ175">
        <v>14723200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29104000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35952000</v>
      </c>
      <c r="AY175">
        <v>1198400</v>
      </c>
      <c r="AZ175">
        <v>0</v>
      </c>
    </row>
    <row r="176" spans="7:52" ht="15.75" thickBot="1" x14ac:dyDescent="0.3">
      <c r="G176" s="19">
        <v>20</v>
      </c>
      <c r="H176" s="49">
        <v>0</v>
      </c>
      <c r="I176" s="49">
        <v>78666400</v>
      </c>
      <c r="J176" s="49">
        <v>0</v>
      </c>
      <c r="K176" s="49">
        <v>0</v>
      </c>
      <c r="L176" s="49">
        <v>0</v>
      </c>
      <c r="M176" s="49">
        <v>0</v>
      </c>
      <c r="N176" s="49">
        <v>0</v>
      </c>
      <c r="O176" s="49">
        <v>0</v>
      </c>
      <c r="P176" s="49">
        <v>0</v>
      </c>
      <c r="Q176" s="49">
        <v>89280800</v>
      </c>
      <c r="R176" s="49">
        <v>0</v>
      </c>
      <c r="S176" s="49">
        <v>0</v>
      </c>
      <c r="T176" s="49">
        <v>0</v>
      </c>
      <c r="U176" s="49">
        <v>0</v>
      </c>
      <c r="V176" s="49">
        <v>0</v>
      </c>
      <c r="W176" s="49">
        <v>0</v>
      </c>
      <c r="X176" s="49">
        <v>17462400</v>
      </c>
      <c r="Y176" s="49">
        <v>0</v>
      </c>
      <c r="Z176" s="49">
        <v>0</v>
      </c>
      <c r="AA176" s="49">
        <v>513600</v>
      </c>
      <c r="AG176">
        <v>0</v>
      </c>
      <c r="AH176">
        <v>78666400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89280800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17462400</v>
      </c>
      <c r="AX176">
        <v>0</v>
      </c>
      <c r="AY176">
        <v>0</v>
      </c>
      <c r="AZ176">
        <v>513600</v>
      </c>
    </row>
    <row r="177" spans="7:52" x14ac:dyDescent="0.25">
      <c r="AB177" t="s">
        <v>38</v>
      </c>
      <c r="AZ177">
        <f>SUM(AG157:AZ176)</f>
        <v>2199834400</v>
      </c>
    </row>
    <row r="178" spans="7:52" x14ac:dyDescent="0.25">
      <c r="AB178">
        <f>SUM(H157:AA176)</f>
        <v>2199834400</v>
      </c>
    </row>
    <row r="179" spans="7:52" ht="15.75" thickBot="1" x14ac:dyDescent="0.3">
      <c r="H179" s="1" t="s">
        <v>41</v>
      </c>
    </row>
    <row r="180" spans="7:52" ht="15.75" thickBot="1" x14ac:dyDescent="0.3">
      <c r="H180" s="16">
        <v>1</v>
      </c>
      <c r="I180" s="20">
        <v>2</v>
      </c>
      <c r="J180" s="21">
        <v>3</v>
      </c>
      <c r="K180" s="21">
        <v>4</v>
      </c>
      <c r="L180" s="21">
        <v>5</v>
      </c>
      <c r="M180" s="21">
        <v>6</v>
      </c>
      <c r="N180" s="21">
        <v>7</v>
      </c>
      <c r="O180" s="21">
        <v>8</v>
      </c>
      <c r="P180" s="21">
        <v>9</v>
      </c>
      <c r="Q180" s="21">
        <v>10</v>
      </c>
      <c r="R180" s="21">
        <v>11</v>
      </c>
      <c r="S180" s="21">
        <v>12</v>
      </c>
      <c r="T180" s="21">
        <v>13</v>
      </c>
      <c r="U180" s="21">
        <v>14</v>
      </c>
      <c r="V180" s="21">
        <v>15</v>
      </c>
      <c r="W180" s="21">
        <v>16</v>
      </c>
      <c r="X180" s="21">
        <v>17</v>
      </c>
      <c r="Y180" s="21">
        <v>18</v>
      </c>
      <c r="Z180" s="21">
        <v>19</v>
      </c>
      <c r="AA180" s="22">
        <v>20</v>
      </c>
    </row>
    <row r="181" spans="7:52" x14ac:dyDescent="0.25">
      <c r="G181" s="23">
        <v>1</v>
      </c>
      <c r="H181" s="49">
        <v>1043200</v>
      </c>
      <c r="I181" s="49">
        <v>0</v>
      </c>
      <c r="J181" s="49">
        <v>0</v>
      </c>
      <c r="K181" s="49">
        <v>0</v>
      </c>
      <c r="L181" s="49">
        <v>0</v>
      </c>
      <c r="M181" s="49">
        <v>0</v>
      </c>
      <c r="N181" s="49">
        <v>0</v>
      </c>
      <c r="O181" s="49">
        <v>0</v>
      </c>
      <c r="P181" s="49">
        <v>0</v>
      </c>
      <c r="Q181" s="49">
        <v>0</v>
      </c>
      <c r="R181" s="49">
        <v>2840800</v>
      </c>
      <c r="S181" s="49">
        <v>4980800</v>
      </c>
      <c r="T181" s="49">
        <v>0</v>
      </c>
      <c r="U181" s="49">
        <v>0</v>
      </c>
      <c r="V181" s="49">
        <v>0</v>
      </c>
      <c r="W181" s="49">
        <v>0</v>
      </c>
      <c r="X181" s="49">
        <v>0</v>
      </c>
      <c r="Y181" s="49">
        <v>15424000</v>
      </c>
      <c r="Z181" s="49">
        <v>0</v>
      </c>
      <c r="AA181" s="49">
        <v>0</v>
      </c>
      <c r="AG181">
        <v>1043200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2840800</v>
      </c>
      <c r="AR181">
        <v>4980800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15424000</v>
      </c>
      <c r="AY181">
        <v>0</v>
      </c>
      <c r="AZ181">
        <v>0</v>
      </c>
    </row>
    <row r="182" spans="7:52" x14ac:dyDescent="0.25">
      <c r="G182" s="17">
        <v>2</v>
      </c>
      <c r="H182" s="49">
        <v>0</v>
      </c>
      <c r="I182" s="49">
        <v>6093600</v>
      </c>
      <c r="J182" s="49">
        <v>21501600</v>
      </c>
      <c r="K182" s="49">
        <v>0</v>
      </c>
      <c r="L182" s="49">
        <v>73803200</v>
      </c>
      <c r="M182" s="49">
        <v>0</v>
      </c>
      <c r="N182" s="49">
        <v>0</v>
      </c>
      <c r="O182" s="49">
        <v>0</v>
      </c>
      <c r="P182" s="49">
        <v>0</v>
      </c>
      <c r="Q182" s="49">
        <v>0</v>
      </c>
      <c r="R182" s="49">
        <v>0</v>
      </c>
      <c r="S182" s="49">
        <v>0</v>
      </c>
      <c r="T182" s="49">
        <v>86557600</v>
      </c>
      <c r="U182" s="49">
        <v>0</v>
      </c>
      <c r="V182" s="49">
        <v>0</v>
      </c>
      <c r="W182" s="49">
        <v>0</v>
      </c>
      <c r="X182" s="49">
        <v>0</v>
      </c>
      <c r="Y182" s="49">
        <v>81849600</v>
      </c>
      <c r="Z182" s="49">
        <v>0</v>
      </c>
      <c r="AA182" s="49">
        <v>78682400</v>
      </c>
      <c r="AG182">
        <v>0</v>
      </c>
      <c r="AH182">
        <v>6093600</v>
      </c>
      <c r="AI182">
        <v>21501600</v>
      </c>
      <c r="AJ182">
        <v>0</v>
      </c>
      <c r="AK182">
        <v>73803200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86557600</v>
      </c>
      <c r="AT182">
        <v>0</v>
      </c>
      <c r="AU182">
        <v>0</v>
      </c>
      <c r="AV182">
        <v>0</v>
      </c>
      <c r="AW182">
        <v>0</v>
      </c>
      <c r="AX182">
        <v>81849600</v>
      </c>
      <c r="AY182">
        <v>0</v>
      </c>
      <c r="AZ182">
        <v>78682400</v>
      </c>
    </row>
    <row r="183" spans="7:52" x14ac:dyDescent="0.25">
      <c r="G183" s="18">
        <v>3</v>
      </c>
      <c r="H183" s="49">
        <v>0</v>
      </c>
      <c r="I183" s="49">
        <v>21501600</v>
      </c>
      <c r="J183" s="49">
        <v>1385600</v>
      </c>
      <c r="K183" s="49">
        <v>0</v>
      </c>
      <c r="L183" s="49">
        <v>0</v>
      </c>
      <c r="M183" s="49">
        <v>0</v>
      </c>
      <c r="N183" s="49">
        <v>0</v>
      </c>
      <c r="O183" s="49">
        <v>0</v>
      </c>
      <c r="P183" s="49">
        <v>0</v>
      </c>
      <c r="Q183" s="49">
        <v>0</v>
      </c>
      <c r="R183" s="49">
        <v>0</v>
      </c>
      <c r="S183" s="49">
        <v>0</v>
      </c>
      <c r="T183" s="49">
        <v>0</v>
      </c>
      <c r="U183" s="49">
        <v>5665600</v>
      </c>
      <c r="V183" s="49">
        <v>0</v>
      </c>
      <c r="W183" s="49">
        <v>0</v>
      </c>
      <c r="X183" s="49">
        <v>0</v>
      </c>
      <c r="Y183" s="49">
        <v>0</v>
      </c>
      <c r="Z183" s="49">
        <v>0</v>
      </c>
      <c r="AA183" s="49">
        <v>0</v>
      </c>
      <c r="AG183">
        <v>0</v>
      </c>
      <c r="AH183">
        <v>21501600</v>
      </c>
      <c r="AI183">
        <v>1385600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5665600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7:52" x14ac:dyDescent="0.25">
      <c r="G184" s="18">
        <v>4</v>
      </c>
      <c r="H184" s="49">
        <v>0</v>
      </c>
      <c r="I184" s="49">
        <v>0</v>
      </c>
      <c r="J184" s="49">
        <v>0</v>
      </c>
      <c r="K184" s="49">
        <v>700800</v>
      </c>
      <c r="L184" s="49">
        <v>0</v>
      </c>
      <c r="M184" s="49">
        <v>0</v>
      </c>
      <c r="N184" s="49">
        <v>0</v>
      </c>
      <c r="O184" s="49">
        <v>0</v>
      </c>
      <c r="P184" s="49">
        <v>0</v>
      </c>
      <c r="Q184" s="49">
        <v>0</v>
      </c>
      <c r="R184" s="49">
        <v>2241600</v>
      </c>
      <c r="S184" s="49">
        <v>0</v>
      </c>
      <c r="T184" s="49">
        <v>0</v>
      </c>
      <c r="U184" s="49">
        <v>0</v>
      </c>
      <c r="V184" s="49">
        <v>0</v>
      </c>
      <c r="W184" s="49">
        <v>0</v>
      </c>
      <c r="X184" s="49">
        <v>0</v>
      </c>
      <c r="Y184" s="49">
        <v>0</v>
      </c>
      <c r="Z184" s="49">
        <v>14739200</v>
      </c>
      <c r="AA184" s="49">
        <v>0</v>
      </c>
      <c r="AG184">
        <v>0</v>
      </c>
      <c r="AH184">
        <v>0</v>
      </c>
      <c r="AI184">
        <v>0</v>
      </c>
      <c r="AJ184">
        <v>700800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2241600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14739200</v>
      </c>
      <c r="AZ184">
        <v>0</v>
      </c>
    </row>
    <row r="185" spans="7:52" x14ac:dyDescent="0.25">
      <c r="G185" s="18">
        <v>5</v>
      </c>
      <c r="H185" s="49">
        <v>0</v>
      </c>
      <c r="I185" s="49">
        <v>73803200</v>
      </c>
      <c r="J185" s="49">
        <v>0</v>
      </c>
      <c r="K185" s="49">
        <v>0</v>
      </c>
      <c r="L185" s="49">
        <v>4467200</v>
      </c>
      <c r="M185" s="49">
        <v>0</v>
      </c>
      <c r="N185" s="49">
        <v>0</v>
      </c>
      <c r="O185" s="49">
        <v>22700000</v>
      </c>
      <c r="P185" s="49">
        <v>0</v>
      </c>
      <c r="Q185" s="49">
        <v>0</v>
      </c>
      <c r="R185" s="49">
        <v>0</v>
      </c>
      <c r="S185" s="49">
        <v>0</v>
      </c>
      <c r="T185" s="49">
        <v>0</v>
      </c>
      <c r="U185" s="49">
        <v>25353600</v>
      </c>
      <c r="V185" s="49">
        <v>51376000</v>
      </c>
      <c r="W185" s="49">
        <v>13284000</v>
      </c>
      <c r="X185" s="49">
        <v>0</v>
      </c>
      <c r="Y185" s="49">
        <v>0</v>
      </c>
      <c r="Z185" s="49">
        <v>0</v>
      </c>
      <c r="AA185" s="49">
        <v>0</v>
      </c>
      <c r="AG185">
        <v>0</v>
      </c>
      <c r="AH185">
        <v>73803200</v>
      </c>
      <c r="AI185">
        <v>0</v>
      </c>
      <c r="AJ185">
        <v>0</v>
      </c>
      <c r="AK185">
        <v>4467200</v>
      </c>
      <c r="AL185">
        <v>0</v>
      </c>
      <c r="AM185">
        <v>0</v>
      </c>
      <c r="AN185">
        <v>22700000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25353600</v>
      </c>
      <c r="AU185">
        <v>51376000</v>
      </c>
      <c r="AV185">
        <v>13284000</v>
      </c>
      <c r="AW185">
        <v>0</v>
      </c>
      <c r="AX185">
        <v>0</v>
      </c>
      <c r="AY185">
        <v>0</v>
      </c>
      <c r="AZ185">
        <v>0</v>
      </c>
    </row>
    <row r="186" spans="7:52" x14ac:dyDescent="0.25">
      <c r="G186" s="18">
        <v>6</v>
      </c>
      <c r="H186" s="49">
        <v>0</v>
      </c>
      <c r="I186" s="49">
        <v>0</v>
      </c>
      <c r="J186" s="49">
        <v>0</v>
      </c>
      <c r="K186" s="49">
        <v>0</v>
      </c>
      <c r="L186" s="49">
        <v>0</v>
      </c>
      <c r="M186" s="49">
        <v>1728000</v>
      </c>
      <c r="N186" s="49">
        <v>0</v>
      </c>
      <c r="O186" s="49">
        <v>0</v>
      </c>
      <c r="P186" s="49">
        <v>0</v>
      </c>
      <c r="Q186" s="49">
        <v>0</v>
      </c>
      <c r="R186" s="49">
        <v>0</v>
      </c>
      <c r="S186" s="49">
        <v>0</v>
      </c>
      <c r="T186" s="49">
        <v>0</v>
      </c>
      <c r="U186" s="49">
        <v>0</v>
      </c>
      <c r="V186" s="49">
        <v>0</v>
      </c>
      <c r="W186" s="49">
        <v>0</v>
      </c>
      <c r="X186" s="49">
        <v>0</v>
      </c>
      <c r="Y186" s="49">
        <v>29804800</v>
      </c>
      <c r="Z186" s="49">
        <v>0</v>
      </c>
      <c r="AA186" s="49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1728000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29804800</v>
      </c>
      <c r="AY186">
        <v>0</v>
      </c>
      <c r="AZ186">
        <v>0</v>
      </c>
    </row>
    <row r="187" spans="7:52" x14ac:dyDescent="0.25">
      <c r="G187" s="18">
        <v>7</v>
      </c>
      <c r="H187" s="49">
        <v>0</v>
      </c>
      <c r="I187" s="49">
        <v>0</v>
      </c>
      <c r="J187" s="49">
        <v>0</v>
      </c>
      <c r="K187" s="49">
        <v>0</v>
      </c>
      <c r="L187" s="49">
        <v>0</v>
      </c>
      <c r="M187" s="49">
        <v>0</v>
      </c>
      <c r="N187" s="49">
        <v>2412800</v>
      </c>
      <c r="O187" s="49">
        <v>0</v>
      </c>
      <c r="P187" s="49">
        <v>0</v>
      </c>
      <c r="Q187" s="49">
        <v>36567200</v>
      </c>
      <c r="R187" s="49">
        <v>0</v>
      </c>
      <c r="S187" s="49">
        <v>0</v>
      </c>
      <c r="T187" s="49">
        <v>0</v>
      </c>
      <c r="U187" s="49">
        <v>0</v>
      </c>
      <c r="V187" s="49">
        <v>0</v>
      </c>
      <c r="W187" s="49">
        <v>0</v>
      </c>
      <c r="X187" s="49">
        <v>0</v>
      </c>
      <c r="Y187" s="49">
        <v>0</v>
      </c>
      <c r="Z187" s="49">
        <v>0</v>
      </c>
      <c r="AA187" s="49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2412800</v>
      </c>
      <c r="AN187">
        <v>0</v>
      </c>
      <c r="AO187">
        <v>0</v>
      </c>
      <c r="AP187">
        <v>36567200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7:52" x14ac:dyDescent="0.25">
      <c r="G188" s="18">
        <v>8</v>
      </c>
      <c r="H188" s="49">
        <v>0</v>
      </c>
      <c r="I188" s="49">
        <v>0</v>
      </c>
      <c r="J188" s="49">
        <v>0</v>
      </c>
      <c r="K188" s="49">
        <v>0</v>
      </c>
      <c r="L188" s="49">
        <v>22700000</v>
      </c>
      <c r="M188" s="49">
        <v>0</v>
      </c>
      <c r="N188" s="49">
        <v>0</v>
      </c>
      <c r="O188" s="49">
        <v>3696800</v>
      </c>
      <c r="P188" s="49">
        <v>55228000</v>
      </c>
      <c r="Q188" s="49">
        <v>50520000</v>
      </c>
      <c r="R188" s="49">
        <v>0</v>
      </c>
      <c r="S188" s="49">
        <v>0</v>
      </c>
      <c r="T188" s="49">
        <v>0</v>
      </c>
      <c r="U188" s="49">
        <v>0</v>
      </c>
      <c r="V188" s="49">
        <v>0</v>
      </c>
      <c r="W188" s="49">
        <v>0</v>
      </c>
      <c r="X188" s="49">
        <v>0</v>
      </c>
      <c r="Y188" s="49">
        <v>0</v>
      </c>
      <c r="Z188" s="49">
        <v>0</v>
      </c>
      <c r="AA188" s="49">
        <v>0</v>
      </c>
      <c r="AG188">
        <v>0</v>
      </c>
      <c r="AH188">
        <v>0</v>
      </c>
      <c r="AI188">
        <v>0</v>
      </c>
      <c r="AJ188">
        <v>0</v>
      </c>
      <c r="AK188">
        <v>22700000</v>
      </c>
      <c r="AL188">
        <v>0</v>
      </c>
      <c r="AM188">
        <v>0</v>
      </c>
      <c r="AN188">
        <v>3696800</v>
      </c>
      <c r="AO188">
        <v>55228000</v>
      </c>
      <c r="AP188">
        <v>50520000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7:52" x14ac:dyDescent="0.25">
      <c r="G189" s="18">
        <v>9</v>
      </c>
      <c r="H189" s="49">
        <v>0</v>
      </c>
      <c r="I189" s="49">
        <v>0</v>
      </c>
      <c r="J189" s="49">
        <v>0</v>
      </c>
      <c r="K189" s="49">
        <v>0</v>
      </c>
      <c r="L189" s="49">
        <v>0</v>
      </c>
      <c r="M189" s="49">
        <v>0</v>
      </c>
      <c r="N189" s="49">
        <v>0</v>
      </c>
      <c r="O189" s="49">
        <v>55228000</v>
      </c>
      <c r="P189" s="49">
        <v>10031200</v>
      </c>
      <c r="Q189" s="49">
        <v>0</v>
      </c>
      <c r="R189" s="49">
        <v>0</v>
      </c>
      <c r="S189" s="49">
        <v>28777600</v>
      </c>
      <c r="T189" s="49">
        <v>0</v>
      </c>
      <c r="U189" s="49">
        <v>0</v>
      </c>
      <c r="V189" s="49">
        <v>7463200</v>
      </c>
      <c r="W189" s="49">
        <v>7377600</v>
      </c>
      <c r="X189" s="49">
        <v>0</v>
      </c>
      <c r="Y189" s="49">
        <v>0</v>
      </c>
      <c r="Z189" s="49">
        <v>0</v>
      </c>
      <c r="AA189" s="4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55228000</v>
      </c>
      <c r="AO189">
        <v>10031200</v>
      </c>
      <c r="AP189">
        <v>0</v>
      </c>
      <c r="AQ189">
        <v>0</v>
      </c>
      <c r="AR189">
        <v>28777600</v>
      </c>
      <c r="AS189">
        <v>0</v>
      </c>
      <c r="AT189">
        <v>0</v>
      </c>
      <c r="AU189">
        <v>7463200</v>
      </c>
      <c r="AV189">
        <v>7377600</v>
      </c>
      <c r="AW189">
        <v>0</v>
      </c>
      <c r="AX189">
        <v>0</v>
      </c>
      <c r="AY189">
        <v>0</v>
      </c>
      <c r="AZ189">
        <v>0</v>
      </c>
    </row>
    <row r="190" spans="7:52" x14ac:dyDescent="0.25">
      <c r="G190" s="18">
        <v>10</v>
      </c>
      <c r="H190" s="49">
        <v>0</v>
      </c>
      <c r="I190" s="49">
        <v>0</v>
      </c>
      <c r="J190" s="49">
        <v>0</v>
      </c>
      <c r="K190" s="49">
        <v>0</v>
      </c>
      <c r="L190" s="49">
        <v>0</v>
      </c>
      <c r="M190" s="49">
        <v>0</v>
      </c>
      <c r="N190" s="49">
        <v>36567200</v>
      </c>
      <c r="O190" s="49">
        <v>50520000</v>
      </c>
      <c r="P190" s="49">
        <v>0</v>
      </c>
      <c r="Q190" s="49">
        <v>1728000</v>
      </c>
      <c r="R190" s="49">
        <v>0</v>
      </c>
      <c r="S190" s="49">
        <v>0</v>
      </c>
      <c r="T190" s="49">
        <v>0</v>
      </c>
      <c r="U190" s="49">
        <v>0</v>
      </c>
      <c r="V190" s="49">
        <v>0</v>
      </c>
      <c r="W190" s="49">
        <v>0</v>
      </c>
      <c r="X190" s="49">
        <v>0</v>
      </c>
      <c r="Y190" s="49">
        <v>0</v>
      </c>
      <c r="Z190" s="49">
        <v>0</v>
      </c>
      <c r="AA190" s="49">
        <v>89296800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36567200</v>
      </c>
      <c r="AN190">
        <v>50520000</v>
      </c>
      <c r="AO190">
        <v>0</v>
      </c>
      <c r="AP190">
        <v>1728000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89296800</v>
      </c>
    </row>
    <row r="191" spans="7:52" x14ac:dyDescent="0.25">
      <c r="G191" s="18">
        <v>11</v>
      </c>
      <c r="H191" s="49">
        <v>2840800</v>
      </c>
      <c r="I191" s="49">
        <v>0</v>
      </c>
      <c r="J191" s="49">
        <v>0</v>
      </c>
      <c r="K191" s="49">
        <v>2241600</v>
      </c>
      <c r="L191" s="49">
        <v>0</v>
      </c>
      <c r="M191" s="49">
        <v>0</v>
      </c>
      <c r="N191" s="49">
        <v>0</v>
      </c>
      <c r="O191" s="49">
        <v>0</v>
      </c>
      <c r="P191" s="49">
        <v>0</v>
      </c>
      <c r="Q191" s="49">
        <v>0</v>
      </c>
      <c r="R191" s="49">
        <v>9260800</v>
      </c>
      <c r="S191" s="49">
        <v>20388800</v>
      </c>
      <c r="T191" s="49">
        <v>51632800</v>
      </c>
      <c r="U191" s="49">
        <v>0</v>
      </c>
      <c r="V191" s="49">
        <v>0</v>
      </c>
      <c r="W191" s="49">
        <v>0</v>
      </c>
      <c r="X191" s="49">
        <v>0</v>
      </c>
      <c r="Y191" s="49">
        <v>0</v>
      </c>
      <c r="Z191" s="49">
        <v>0</v>
      </c>
      <c r="AA191" s="49">
        <v>0</v>
      </c>
      <c r="AG191">
        <v>2840800</v>
      </c>
      <c r="AH191">
        <v>0</v>
      </c>
      <c r="AI191">
        <v>0</v>
      </c>
      <c r="AJ191">
        <v>2241600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9260800</v>
      </c>
      <c r="AR191">
        <v>20388800</v>
      </c>
      <c r="AS191">
        <v>51632800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7:52" x14ac:dyDescent="0.25">
      <c r="G192" s="18">
        <v>12</v>
      </c>
      <c r="H192" s="49">
        <v>4980800</v>
      </c>
      <c r="I192" s="49">
        <v>0</v>
      </c>
      <c r="J192" s="49">
        <v>0</v>
      </c>
      <c r="K192" s="49">
        <v>0</v>
      </c>
      <c r="L192" s="49">
        <v>0</v>
      </c>
      <c r="M192" s="49">
        <v>0</v>
      </c>
      <c r="N192" s="49">
        <v>0</v>
      </c>
      <c r="O192" s="49">
        <v>0</v>
      </c>
      <c r="P192" s="49">
        <v>28777600</v>
      </c>
      <c r="Q192" s="49">
        <v>0</v>
      </c>
      <c r="R192" s="49">
        <v>20388800</v>
      </c>
      <c r="S192" s="49">
        <v>2156000</v>
      </c>
      <c r="T192" s="49">
        <v>0</v>
      </c>
      <c r="U192" s="49">
        <v>0</v>
      </c>
      <c r="V192" s="49">
        <v>0</v>
      </c>
      <c r="W192" s="49">
        <v>11400800</v>
      </c>
      <c r="X192" s="49">
        <v>0</v>
      </c>
      <c r="Y192" s="49">
        <v>0</v>
      </c>
      <c r="Z192" s="49">
        <v>29120000</v>
      </c>
      <c r="AA192" s="49">
        <v>0</v>
      </c>
      <c r="AG192">
        <v>4980800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28777600</v>
      </c>
      <c r="AP192">
        <v>0</v>
      </c>
      <c r="AQ192">
        <v>20388800</v>
      </c>
      <c r="AR192">
        <v>2156000</v>
      </c>
      <c r="AS192">
        <v>0</v>
      </c>
      <c r="AT192">
        <v>0</v>
      </c>
      <c r="AU192">
        <v>0</v>
      </c>
      <c r="AV192">
        <v>11400800</v>
      </c>
      <c r="AW192">
        <v>0</v>
      </c>
      <c r="AX192">
        <v>0</v>
      </c>
      <c r="AY192">
        <v>29120000</v>
      </c>
      <c r="AZ192">
        <v>0</v>
      </c>
    </row>
    <row r="193" spans="7:52" x14ac:dyDescent="0.25">
      <c r="G193" s="18">
        <v>13</v>
      </c>
      <c r="H193" s="49">
        <v>0</v>
      </c>
      <c r="I193" s="49">
        <v>86557600</v>
      </c>
      <c r="J193" s="49">
        <v>0</v>
      </c>
      <c r="K193" s="49">
        <v>0</v>
      </c>
      <c r="L193" s="49">
        <v>0</v>
      </c>
      <c r="M193" s="49">
        <v>0</v>
      </c>
      <c r="N193" s="49">
        <v>0</v>
      </c>
      <c r="O193" s="49">
        <v>0</v>
      </c>
      <c r="P193" s="49">
        <v>0</v>
      </c>
      <c r="Q193" s="49">
        <v>0</v>
      </c>
      <c r="R193" s="49">
        <v>51632800</v>
      </c>
      <c r="S193" s="49">
        <v>0</v>
      </c>
      <c r="T193" s="49">
        <v>872000</v>
      </c>
      <c r="U193" s="49">
        <v>0</v>
      </c>
      <c r="V193" s="49">
        <v>0</v>
      </c>
      <c r="W193" s="49">
        <v>40761600</v>
      </c>
      <c r="X193" s="49">
        <v>42559200</v>
      </c>
      <c r="Y193" s="49">
        <v>0</v>
      </c>
      <c r="Z193" s="49">
        <v>0</v>
      </c>
      <c r="AA193" s="49">
        <v>0</v>
      </c>
      <c r="AG193">
        <v>0</v>
      </c>
      <c r="AH193">
        <v>86557600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51632800</v>
      </c>
      <c r="AR193">
        <v>0</v>
      </c>
      <c r="AS193">
        <v>872000</v>
      </c>
      <c r="AT193">
        <v>0</v>
      </c>
      <c r="AU193">
        <v>0</v>
      </c>
      <c r="AV193">
        <v>40761600</v>
      </c>
      <c r="AW193">
        <v>42559200</v>
      </c>
      <c r="AX193">
        <v>0</v>
      </c>
      <c r="AY193">
        <v>0</v>
      </c>
      <c r="AZ193">
        <v>0</v>
      </c>
    </row>
    <row r="194" spans="7:52" x14ac:dyDescent="0.25">
      <c r="G194" s="18">
        <v>14</v>
      </c>
      <c r="H194" s="49">
        <v>0</v>
      </c>
      <c r="I194" s="49">
        <v>0</v>
      </c>
      <c r="J194" s="49">
        <v>5665600</v>
      </c>
      <c r="K194" s="49">
        <v>0</v>
      </c>
      <c r="L194" s="49">
        <v>25353600</v>
      </c>
      <c r="M194" s="49">
        <v>0</v>
      </c>
      <c r="N194" s="49">
        <v>0</v>
      </c>
      <c r="O194" s="49">
        <v>0</v>
      </c>
      <c r="P194" s="49">
        <v>0</v>
      </c>
      <c r="Q194" s="49">
        <v>0</v>
      </c>
      <c r="R194" s="49">
        <v>0</v>
      </c>
      <c r="S194" s="49">
        <v>0</v>
      </c>
      <c r="T194" s="49">
        <v>0</v>
      </c>
      <c r="U194" s="49">
        <v>2070400</v>
      </c>
      <c r="V194" s="49">
        <v>0</v>
      </c>
      <c r="W194" s="49">
        <v>11828800</v>
      </c>
      <c r="X194" s="49">
        <v>0</v>
      </c>
      <c r="Y194" s="49">
        <v>0</v>
      </c>
      <c r="Z194" s="49">
        <v>0</v>
      </c>
      <c r="AA194" s="49">
        <v>0</v>
      </c>
      <c r="AG194">
        <v>0</v>
      </c>
      <c r="AH194">
        <v>0</v>
      </c>
      <c r="AI194">
        <v>5665600</v>
      </c>
      <c r="AJ194">
        <v>0</v>
      </c>
      <c r="AK194">
        <v>25353600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2070400</v>
      </c>
      <c r="AU194">
        <v>0</v>
      </c>
      <c r="AV194">
        <v>11828800</v>
      </c>
      <c r="AW194">
        <v>0</v>
      </c>
      <c r="AX194">
        <v>0</v>
      </c>
      <c r="AY194">
        <v>0</v>
      </c>
      <c r="AZ194">
        <v>0</v>
      </c>
    </row>
    <row r="195" spans="7:52" x14ac:dyDescent="0.25">
      <c r="G195" s="18">
        <v>15</v>
      </c>
      <c r="H195" s="49">
        <v>0</v>
      </c>
      <c r="I195" s="49">
        <v>0</v>
      </c>
      <c r="J195" s="49">
        <v>0</v>
      </c>
      <c r="K195" s="49">
        <v>0</v>
      </c>
      <c r="L195" s="49">
        <v>51376000</v>
      </c>
      <c r="M195" s="49">
        <v>0</v>
      </c>
      <c r="N195" s="49">
        <v>0</v>
      </c>
      <c r="O195" s="49">
        <v>0</v>
      </c>
      <c r="P195" s="49">
        <v>7463200</v>
      </c>
      <c r="Q195" s="49">
        <v>0</v>
      </c>
      <c r="R195" s="49">
        <v>0</v>
      </c>
      <c r="S195" s="49">
        <v>0</v>
      </c>
      <c r="T195" s="49">
        <v>0</v>
      </c>
      <c r="U195" s="49">
        <v>0</v>
      </c>
      <c r="V195" s="49">
        <v>5580000</v>
      </c>
      <c r="W195" s="49">
        <v>0</v>
      </c>
      <c r="X195" s="49">
        <v>0</v>
      </c>
      <c r="Y195" s="49">
        <v>0</v>
      </c>
      <c r="Z195" s="49">
        <v>0</v>
      </c>
      <c r="AA195" s="49">
        <v>0</v>
      </c>
      <c r="AG195">
        <v>0</v>
      </c>
      <c r="AH195">
        <v>0</v>
      </c>
      <c r="AI195">
        <v>0</v>
      </c>
      <c r="AJ195">
        <v>0</v>
      </c>
      <c r="AK195">
        <v>51376000</v>
      </c>
      <c r="AL195">
        <v>0</v>
      </c>
      <c r="AM195">
        <v>0</v>
      </c>
      <c r="AN195">
        <v>0</v>
      </c>
      <c r="AO195">
        <v>7463200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5580000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7:52" x14ac:dyDescent="0.25">
      <c r="G196" s="18">
        <v>16</v>
      </c>
      <c r="H196" s="49">
        <v>0</v>
      </c>
      <c r="I196" s="49">
        <v>0</v>
      </c>
      <c r="J196" s="49">
        <v>0</v>
      </c>
      <c r="K196" s="49">
        <v>0</v>
      </c>
      <c r="L196" s="49">
        <v>13284000</v>
      </c>
      <c r="M196" s="49">
        <v>0</v>
      </c>
      <c r="N196" s="49">
        <v>0</v>
      </c>
      <c r="O196" s="49">
        <v>0</v>
      </c>
      <c r="P196" s="49">
        <v>7377600</v>
      </c>
      <c r="Q196" s="49">
        <v>0</v>
      </c>
      <c r="R196" s="49">
        <v>0</v>
      </c>
      <c r="S196" s="49">
        <v>11400800</v>
      </c>
      <c r="T196" s="49">
        <v>40761600</v>
      </c>
      <c r="U196" s="49">
        <v>11828800</v>
      </c>
      <c r="V196" s="49">
        <v>0</v>
      </c>
      <c r="W196" s="49">
        <v>5408800</v>
      </c>
      <c r="X196" s="49">
        <v>0</v>
      </c>
      <c r="Y196" s="49">
        <v>0</v>
      </c>
      <c r="Z196" s="49">
        <v>0</v>
      </c>
      <c r="AA196" s="49">
        <v>0</v>
      </c>
      <c r="AG196">
        <v>0</v>
      </c>
      <c r="AH196">
        <v>0</v>
      </c>
      <c r="AI196">
        <v>0</v>
      </c>
      <c r="AJ196">
        <v>0</v>
      </c>
      <c r="AK196">
        <v>13284000</v>
      </c>
      <c r="AL196">
        <v>0</v>
      </c>
      <c r="AM196">
        <v>0</v>
      </c>
      <c r="AN196">
        <v>0</v>
      </c>
      <c r="AO196">
        <v>7377600</v>
      </c>
      <c r="AP196">
        <v>0</v>
      </c>
      <c r="AQ196">
        <v>0</v>
      </c>
      <c r="AR196">
        <v>11400800</v>
      </c>
      <c r="AS196">
        <v>40761600</v>
      </c>
      <c r="AT196">
        <v>11828800</v>
      </c>
      <c r="AU196">
        <v>0</v>
      </c>
      <c r="AV196">
        <v>5408800</v>
      </c>
      <c r="AW196">
        <v>0</v>
      </c>
      <c r="AX196">
        <v>0</v>
      </c>
      <c r="AY196">
        <v>0</v>
      </c>
      <c r="AZ196">
        <v>0</v>
      </c>
    </row>
    <row r="197" spans="7:52" x14ac:dyDescent="0.25">
      <c r="G197" s="18">
        <v>17</v>
      </c>
      <c r="H197" s="49">
        <v>0</v>
      </c>
      <c r="I197" s="49">
        <v>0</v>
      </c>
      <c r="J197" s="49">
        <v>0</v>
      </c>
      <c r="K197" s="49">
        <v>0</v>
      </c>
      <c r="L197" s="49">
        <v>0</v>
      </c>
      <c r="M197" s="49">
        <v>0</v>
      </c>
      <c r="N197" s="49">
        <v>0</v>
      </c>
      <c r="O197" s="49">
        <v>0</v>
      </c>
      <c r="P197" s="49">
        <v>0</v>
      </c>
      <c r="Q197" s="49">
        <v>0</v>
      </c>
      <c r="R197" s="49">
        <v>0</v>
      </c>
      <c r="S197" s="49">
        <v>0</v>
      </c>
      <c r="T197" s="49">
        <v>42559200</v>
      </c>
      <c r="U197" s="49">
        <v>0</v>
      </c>
      <c r="V197" s="49">
        <v>0</v>
      </c>
      <c r="W197" s="49">
        <v>0</v>
      </c>
      <c r="X197" s="49">
        <v>5751200</v>
      </c>
      <c r="Y197" s="49">
        <v>0</v>
      </c>
      <c r="Z197" s="49">
        <v>0</v>
      </c>
      <c r="AA197" s="49">
        <v>17478400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42559200</v>
      </c>
      <c r="AT197">
        <v>0</v>
      </c>
      <c r="AU197">
        <v>0</v>
      </c>
      <c r="AV197">
        <v>0</v>
      </c>
      <c r="AW197">
        <v>5751200</v>
      </c>
      <c r="AX197">
        <v>0</v>
      </c>
      <c r="AY197">
        <v>0</v>
      </c>
      <c r="AZ197">
        <v>17478400</v>
      </c>
    </row>
    <row r="198" spans="7:52" x14ac:dyDescent="0.25">
      <c r="G198" s="18">
        <v>18</v>
      </c>
      <c r="H198" s="49">
        <v>15424000</v>
      </c>
      <c r="I198" s="49">
        <v>81849600</v>
      </c>
      <c r="J198" s="49">
        <v>0</v>
      </c>
      <c r="K198" s="49">
        <v>0</v>
      </c>
      <c r="L198" s="49">
        <v>0</v>
      </c>
      <c r="M198" s="49">
        <v>29804800</v>
      </c>
      <c r="N198" s="49">
        <v>0</v>
      </c>
      <c r="O198" s="49">
        <v>0</v>
      </c>
      <c r="P198" s="49">
        <v>0</v>
      </c>
      <c r="Q198" s="49">
        <v>0</v>
      </c>
      <c r="R198" s="49">
        <v>0</v>
      </c>
      <c r="S198" s="49">
        <v>0</v>
      </c>
      <c r="T198" s="49">
        <v>0</v>
      </c>
      <c r="U198" s="49">
        <v>0</v>
      </c>
      <c r="V198" s="49">
        <v>0</v>
      </c>
      <c r="W198" s="49">
        <v>0</v>
      </c>
      <c r="X198" s="49">
        <v>0</v>
      </c>
      <c r="Y198" s="49">
        <v>700800</v>
      </c>
      <c r="Z198" s="49">
        <v>35968000</v>
      </c>
      <c r="AA198" s="49">
        <v>0</v>
      </c>
      <c r="AG198">
        <v>15424000</v>
      </c>
      <c r="AH198">
        <v>81849600</v>
      </c>
      <c r="AI198">
        <v>0</v>
      </c>
      <c r="AJ198">
        <v>0</v>
      </c>
      <c r="AK198">
        <v>0</v>
      </c>
      <c r="AL198">
        <v>29804800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700800</v>
      </c>
      <c r="AY198">
        <v>35968000</v>
      </c>
      <c r="AZ198">
        <v>0</v>
      </c>
    </row>
    <row r="199" spans="7:52" x14ac:dyDescent="0.25">
      <c r="G199" s="18">
        <v>19</v>
      </c>
      <c r="H199" s="49">
        <v>0</v>
      </c>
      <c r="I199" s="49">
        <v>0</v>
      </c>
      <c r="J199" s="49">
        <v>0</v>
      </c>
      <c r="K199" s="49">
        <v>14739200</v>
      </c>
      <c r="L199" s="49">
        <v>0</v>
      </c>
      <c r="M199" s="49">
        <v>0</v>
      </c>
      <c r="N199" s="49">
        <v>0</v>
      </c>
      <c r="O199" s="49">
        <v>0</v>
      </c>
      <c r="P199" s="49">
        <v>0</v>
      </c>
      <c r="Q199" s="49">
        <v>0</v>
      </c>
      <c r="R199" s="49">
        <v>0</v>
      </c>
      <c r="S199" s="49">
        <v>29120000</v>
      </c>
      <c r="T199" s="49">
        <v>0</v>
      </c>
      <c r="U199" s="49">
        <v>0</v>
      </c>
      <c r="V199" s="49">
        <v>0</v>
      </c>
      <c r="W199" s="49">
        <v>0</v>
      </c>
      <c r="X199" s="49">
        <v>0</v>
      </c>
      <c r="Y199" s="49">
        <v>35968000</v>
      </c>
      <c r="Z199" s="49">
        <v>1214400</v>
      </c>
      <c r="AA199" s="49">
        <v>0</v>
      </c>
      <c r="AG199">
        <v>0</v>
      </c>
      <c r="AH199">
        <v>0</v>
      </c>
      <c r="AI199">
        <v>0</v>
      </c>
      <c r="AJ199">
        <v>14739200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29120000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35968000</v>
      </c>
      <c r="AY199">
        <v>1214400</v>
      </c>
      <c r="AZ199">
        <v>0</v>
      </c>
    </row>
    <row r="200" spans="7:52" ht="15.75" thickBot="1" x14ac:dyDescent="0.3">
      <c r="G200" s="19">
        <v>20</v>
      </c>
      <c r="H200" s="49">
        <v>0</v>
      </c>
      <c r="I200" s="49">
        <v>78682400</v>
      </c>
      <c r="J200" s="49">
        <v>0</v>
      </c>
      <c r="K200" s="49">
        <v>0</v>
      </c>
      <c r="L200" s="49">
        <v>0</v>
      </c>
      <c r="M200" s="49">
        <v>0</v>
      </c>
      <c r="N200" s="49">
        <v>0</v>
      </c>
      <c r="O200" s="49">
        <v>0</v>
      </c>
      <c r="P200" s="49">
        <v>0</v>
      </c>
      <c r="Q200" s="49">
        <v>89296800</v>
      </c>
      <c r="R200" s="49">
        <v>0</v>
      </c>
      <c r="S200" s="49">
        <v>0</v>
      </c>
      <c r="T200" s="49">
        <v>0</v>
      </c>
      <c r="U200" s="49">
        <v>0</v>
      </c>
      <c r="V200" s="49">
        <v>0</v>
      </c>
      <c r="W200" s="49">
        <v>0</v>
      </c>
      <c r="X200" s="49">
        <v>17478400</v>
      </c>
      <c r="Y200" s="49">
        <v>0</v>
      </c>
      <c r="Z200" s="49">
        <v>0</v>
      </c>
      <c r="AA200" s="49">
        <v>529600</v>
      </c>
      <c r="AG200">
        <v>0</v>
      </c>
      <c r="AH200">
        <v>78682400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89296800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17478400</v>
      </c>
      <c r="AX200">
        <v>0</v>
      </c>
      <c r="AY200">
        <v>0</v>
      </c>
      <c r="AZ200">
        <v>529600</v>
      </c>
    </row>
    <row r="201" spans="7:52" x14ac:dyDescent="0.25">
      <c r="AB201" t="s">
        <v>40</v>
      </c>
      <c r="AZ201">
        <f>SUM(AG181:AZ200)</f>
        <v>2201178400</v>
      </c>
    </row>
    <row r="202" spans="7:52" x14ac:dyDescent="0.25">
      <c r="AB202">
        <f>SUM(H181:AA200)</f>
        <v>2201178400</v>
      </c>
    </row>
    <row r="203" spans="7:52" x14ac:dyDescent="0.25">
      <c r="H203" s="1" t="s">
        <v>56</v>
      </c>
    </row>
    <row r="204" spans="7:52" ht="15.75" thickBot="1" x14ac:dyDescent="0.3">
      <c r="H204" s="1" t="s">
        <v>42</v>
      </c>
    </row>
    <row r="205" spans="7:52" ht="15.75" thickBot="1" x14ac:dyDescent="0.3">
      <c r="H205" s="16">
        <v>1</v>
      </c>
      <c r="I205" s="20">
        <v>2</v>
      </c>
      <c r="J205" s="21">
        <v>3</v>
      </c>
      <c r="K205" s="21">
        <v>4</v>
      </c>
      <c r="L205" s="21">
        <v>5</v>
      </c>
      <c r="M205" s="21">
        <v>6</v>
      </c>
      <c r="N205" s="21">
        <v>7</v>
      </c>
      <c r="O205" s="21">
        <v>8</v>
      </c>
      <c r="P205" s="21">
        <v>9</v>
      </c>
      <c r="Q205" s="21">
        <v>10</v>
      </c>
      <c r="R205" s="21">
        <v>11</v>
      </c>
      <c r="S205" s="21">
        <v>12</v>
      </c>
      <c r="T205" s="21">
        <v>13</v>
      </c>
      <c r="U205" s="21">
        <v>14</v>
      </c>
      <c r="V205" s="21">
        <v>15</v>
      </c>
      <c r="W205" s="21">
        <v>16</v>
      </c>
      <c r="X205" s="21">
        <v>17</v>
      </c>
      <c r="Y205" s="21">
        <v>18</v>
      </c>
      <c r="Z205" s="21">
        <v>19</v>
      </c>
      <c r="AA205" s="22">
        <v>20</v>
      </c>
      <c r="AG205">
        <v>10</v>
      </c>
      <c r="AH205" t="s">
        <v>51</v>
      </c>
      <c r="AI205" t="s">
        <v>52</v>
      </c>
      <c r="AJ205" t="s">
        <v>53</v>
      </c>
      <c r="AK205" t="s">
        <v>54</v>
      </c>
      <c r="AL205" t="s">
        <v>55</v>
      </c>
    </row>
    <row r="206" spans="7:52" x14ac:dyDescent="0.25">
      <c r="G206" s="23">
        <v>1</v>
      </c>
      <c r="H206" s="50">
        <v>1063200</v>
      </c>
      <c r="I206" s="50">
        <v>0</v>
      </c>
      <c r="J206" s="50">
        <v>0</v>
      </c>
      <c r="K206" s="50">
        <v>0</v>
      </c>
      <c r="L206" s="50">
        <v>0</v>
      </c>
      <c r="M206" s="50">
        <v>0</v>
      </c>
      <c r="N206" s="50">
        <v>0</v>
      </c>
      <c r="O206" s="50">
        <v>0</v>
      </c>
      <c r="P206" s="50">
        <v>0</v>
      </c>
      <c r="Q206" s="50">
        <v>0</v>
      </c>
      <c r="R206" s="50">
        <v>2860800</v>
      </c>
      <c r="S206" s="50">
        <v>5010800</v>
      </c>
      <c r="T206" s="50">
        <v>0</v>
      </c>
      <c r="U206" s="50">
        <v>0</v>
      </c>
      <c r="V206" s="50">
        <v>0</v>
      </c>
      <c r="W206" s="50">
        <v>0</v>
      </c>
      <c r="X206" s="50">
        <v>0</v>
      </c>
      <c r="Y206" s="50">
        <v>15484000</v>
      </c>
      <c r="Z206" s="50">
        <v>0</v>
      </c>
      <c r="AA206" s="50">
        <v>0</v>
      </c>
      <c r="AG206">
        <v>1043200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2860800</v>
      </c>
      <c r="AR206">
        <v>5010800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15484000</v>
      </c>
      <c r="AY206">
        <v>0</v>
      </c>
      <c r="AZ206">
        <v>0</v>
      </c>
    </row>
    <row r="207" spans="7:52" x14ac:dyDescent="0.25">
      <c r="G207" s="17">
        <v>2</v>
      </c>
      <c r="H207" s="50">
        <v>0</v>
      </c>
      <c r="I207" s="50">
        <v>6113600</v>
      </c>
      <c r="J207" s="50">
        <v>21551600</v>
      </c>
      <c r="K207" s="50">
        <v>0</v>
      </c>
      <c r="L207" s="50">
        <v>73883200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50">
        <v>86647600</v>
      </c>
      <c r="U207" s="50">
        <v>0</v>
      </c>
      <c r="V207" s="50">
        <v>0</v>
      </c>
      <c r="W207" s="50">
        <v>0</v>
      </c>
      <c r="X207" s="50">
        <v>0</v>
      </c>
      <c r="Y207" s="50">
        <v>81999600</v>
      </c>
      <c r="Z207" s="50">
        <v>0</v>
      </c>
      <c r="AA207" s="50">
        <v>78802400</v>
      </c>
      <c r="AG207">
        <v>0</v>
      </c>
      <c r="AH207">
        <v>6093600</v>
      </c>
      <c r="AI207">
        <v>21551600</v>
      </c>
      <c r="AJ207">
        <v>0</v>
      </c>
      <c r="AK207">
        <v>73883200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86647600</v>
      </c>
      <c r="AT207">
        <v>0</v>
      </c>
      <c r="AU207">
        <v>0</v>
      </c>
      <c r="AV207">
        <v>0</v>
      </c>
      <c r="AW207">
        <v>0</v>
      </c>
      <c r="AX207">
        <v>81999600</v>
      </c>
      <c r="AY207">
        <v>0</v>
      </c>
      <c r="AZ207">
        <v>78802400</v>
      </c>
    </row>
    <row r="208" spans="7:52" x14ac:dyDescent="0.25">
      <c r="G208" s="18">
        <v>3</v>
      </c>
      <c r="H208" s="50">
        <v>0</v>
      </c>
      <c r="I208" s="50">
        <v>21551600</v>
      </c>
      <c r="J208" s="50">
        <v>1405600</v>
      </c>
      <c r="K208" s="50">
        <v>0</v>
      </c>
      <c r="L208" s="50">
        <v>0</v>
      </c>
      <c r="M208" s="50">
        <v>0</v>
      </c>
      <c r="N208" s="50">
        <v>0</v>
      </c>
      <c r="O208" s="50">
        <v>0</v>
      </c>
      <c r="P208" s="50">
        <v>0</v>
      </c>
      <c r="Q208" s="50">
        <v>0</v>
      </c>
      <c r="R208" s="50">
        <v>0</v>
      </c>
      <c r="S208" s="50">
        <v>0</v>
      </c>
      <c r="T208" s="50">
        <v>0</v>
      </c>
      <c r="U208" s="50">
        <v>5695600</v>
      </c>
      <c r="V208" s="50">
        <v>0</v>
      </c>
      <c r="W208" s="50">
        <v>0</v>
      </c>
      <c r="X208" s="50">
        <v>0</v>
      </c>
      <c r="Y208" s="50">
        <v>0</v>
      </c>
      <c r="Z208" s="50">
        <v>0</v>
      </c>
      <c r="AA208" s="50">
        <v>0</v>
      </c>
      <c r="AG208">
        <v>0</v>
      </c>
      <c r="AH208">
        <v>21551600</v>
      </c>
      <c r="AI208">
        <v>1385600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5695600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7:52" x14ac:dyDescent="0.25">
      <c r="G209" s="18">
        <v>4</v>
      </c>
      <c r="H209" s="50">
        <v>0</v>
      </c>
      <c r="I209" s="50">
        <v>0</v>
      </c>
      <c r="J209" s="50">
        <v>0</v>
      </c>
      <c r="K209" s="50">
        <v>720800</v>
      </c>
      <c r="L209" s="50">
        <v>0</v>
      </c>
      <c r="M209" s="50">
        <v>0</v>
      </c>
      <c r="N209" s="50">
        <v>0</v>
      </c>
      <c r="O209" s="50">
        <v>0</v>
      </c>
      <c r="P209" s="50">
        <v>0</v>
      </c>
      <c r="Q209" s="50">
        <v>0</v>
      </c>
      <c r="R209" s="50">
        <v>2261600</v>
      </c>
      <c r="S209" s="50">
        <v>0</v>
      </c>
      <c r="T209" s="50">
        <v>0</v>
      </c>
      <c r="U209" s="50">
        <v>0</v>
      </c>
      <c r="V209" s="50">
        <v>0</v>
      </c>
      <c r="W209" s="50">
        <v>0</v>
      </c>
      <c r="X209" s="50">
        <v>0</v>
      </c>
      <c r="Y209" s="50">
        <v>0</v>
      </c>
      <c r="Z209" s="50">
        <v>14869200</v>
      </c>
      <c r="AA209" s="50">
        <v>0</v>
      </c>
      <c r="AG209">
        <v>0</v>
      </c>
      <c r="AH209">
        <v>0</v>
      </c>
      <c r="AI209">
        <v>0</v>
      </c>
      <c r="AJ209">
        <v>700800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2261600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14869200</v>
      </c>
      <c r="AZ209">
        <v>0</v>
      </c>
    </row>
    <row r="210" spans="7:52" x14ac:dyDescent="0.25">
      <c r="G210" s="18">
        <v>5</v>
      </c>
      <c r="H210" s="50">
        <v>0</v>
      </c>
      <c r="I210" s="50">
        <v>73883200</v>
      </c>
      <c r="J210" s="50">
        <v>0</v>
      </c>
      <c r="K210" s="50">
        <v>0</v>
      </c>
      <c r="L210" s="50">
        <v>4487200</v>
      </c>
      <c r="M210" s="50">
        <v>0</v>
      </c>
      <c r="N210" s="50">
        <v>0</v>
      </c>
      <c r="O210" s="50">
        <v>22730000</v>
      </c>
      <c r="P210" s="50">
        <v>0</v>
      </c>
      <c r="Q210" s="50">
        <v>0</v>
      </c>
      <c r="R210" s="50">
        <v>0</v>
      </c>
      <c r="S210" s="50">
        <v>0</v>
      </c>
      <c r="T210" s="50">
        <v>0</v>
      </c>
      <c r="U210" s="50">
        <v>25443600</v>
      </c>
      <c r="V210" s="50">
        <v>51486000</v>
      </c>
      <c r="W210" s="50">
        <v>13314000</v>
      </c>
      <c r="X210" s="50">
        <v>0</v>
      </c>
      <c r="Y210" s="50">
        <v>0</v>
      </c>
      <c r="Z210" s="50">
        <v>0</v>
      </c>
      <c r="AA210" s="50">
        <v>0</v>
      </c>
      <c r="AG210">
        <v>0</v>
      </c>
      <c r="AH210">
        <v>73883200</v>
      </c>
      <c r="AI210">
        <v>0</v>
      </c>
      <c r="AJ210">
        <v>0</v>
      </c>
      <c r="AK210">
        <v>4467200</v>
      </c>
      <c r="AL210">
        <v>0</v>
      </c>
      <c r="AM210">
        <v>0</v>
      </c>
      <c r="AN210">
        <v>22730000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25443600</v>
      </c>
      <c r="AU210">
        <v>51486000</v>
      </c>
      <c r="AV210">
        <v>13314000</v>
      </c>
      <c r="AW210">
        <v>0</v>
      </c>
      <c r="AX210">
        <v>0</v>
      </c>
      <c r="AY210">
        <v>0</v>
      </c>
      <c r="AZ210">
        <v>0</v>
      </c>
    </row>
    <row r="211" spans="7:52" x14ac:dyDescent="0.25">
      <c r="G211" s="18">
        <v>6</v>
      </c>
      <c r="H211" s="50">
        <v>0</v>
      </c>
      <c r="I211" s="50">
        <v>0</v>
      </c>
      <c r="J211" s="50">
        <v>0</v>
      </c>
      <c r="K211" s="50">
        <v>0</v>
      </c>
      <c r="L211" s="50">
        <v>0</v>
      </c>
      <c r="M211" s="50">
        <v>1748000</v>
      </c>
      <c r="N211" s="50">
        <v>0</v>
      </c>
      <c r="O211" s="50">
        <v>0</v>
      </c>
      <c r="P211" s="50">
        <v>0</v>
      </c>
      <c r="Q211" s="50">
        <v>0</v>
      </c>
      <c r="R211" s="50">
        <v>0</v>
      </c>
      <c r="S211" s="50">
        <v>0</v>
      </c>
      <c r="T211" s="50">
        <v>0</v>
      </c>
      <c r="U211" s="50">
        <v>0</v>
      </c>
      <c r="V211" s="50">
        <v>0</v>
      </c>
      <c r="W211" s="50">
        <v>0</v>
      </c>
      <c r="X211" s="50">
        <v>0</v>
      </c>
      <c r="Y211" s="50">
        <v>29874800</v>
      </c>
      <c r="Z211" s="50">
        <v>0</v>
      </c>
      <c r="AA211" s="50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1728000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29874800</v>
      </c>
      <c r="AY211">
        <v>0</v>
      </c>
      <c r="AZ211">
        <v>0</v>
      </c>
    </row>
    <row r="212" spans="7:52" x14ac:dyDescent="0.25">
      <c r="G212" s="18">
        <v>7</v>
      </c>
      <c r="H212" s="50">
        <v>0</v>
      </c>
      <c r="I212" s="50">
        <v>0</v>
      </c>
      <c r="J212" s="50">
        <v>0</v>
      </c>
      <c r="K212" s="50">
        <v>0</v>
      </c>
      <c r="L212" s="50">
        <v>0</v>
      </c>
      <c r="M212" s="50">
        <v>0</v>
      </c>
      <c r="N212" s="50">
        <v>2432800</v>
      </c>
      <c r="O212" s="50">
        <v>0</v>
      </c>
      <c r="P212" s="50">
        <v>0</v>
      </c>
      <c r="Q212" s="50">
        <v>36677200</v>
      </c>
      <c r="R212" s="50">
        <v>0</v>
      </c>
      <c r="S212" s="50">
        <v>0</v>
      </c>
      <c r="T212" s="50">
        <v>0</v>
      </c>
      <c r="U212" s="50">
        <v>0</v>
      </c>
      <c r="V212" s="50">
        <v>0</v>
      </c>
      <c r="W212" s="50">
        <v>0</v>
      </c>
      <c r="X212" s="50">
        <v>0</v>
      </c>
      <c r="Y212" s="50">
        <v>0</v>
      </c>
      <c r="Z212" s="50">
        <v>0</v>
      </c>
      <c r="AA212" s="50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2412800</v>
      </c>
      <c r="AN212">
        <v>0</v>
      </c>
      <c r="AO212">
        <v>0</v>
      </c>
      <c r="AP212">
        <v>36677200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7:52" x14ac:dyDescent="0.25">
      <c r="G213" s="18">
        <v>8</v>
      </c>
      <c r="H213" s="50">
        <v>0</v>
      </c>
      <c r="I213" s="50">
        <v>0</v>
      </c>
      <c r="J213" s="50">
        <v>0</v>
      </c>
      <c r="K213" s="50">
        <v>0</v>
      </c>
      <c r="L213" s="50">
        <v>22730000</v>
      </c>
      <c r="M213" s="50">
        <v>0</v>
      </c>
      <c r="N213" s="50">
        <v>0</v>
      </c>
      <c r="O213" s="50">
        <v>3716800</v>
      </c>
      <c r="P213" s="50">
        <v>55368000</v>
      </c>
      <c r="Q213" s="50">
        <v>50600000</v>
      </c>
      <c r="R213" s="50">
        <v>0</v>
      </c>
      <c r="S213" s="50">
        <v>0</v>
      </c>
      <c r="T213" s="50">
        <v>0</v>
      </c>
      <c r="U213" s="50">
        <v>0</v>
      </c>
      <c r="V213" s="50">
        <v>0</v>
      </c>
      <c r="W213" s="50">
        <v>0</v>
      </c>
      <c r="X213" s="50">
        <v>0</v>
      </c>
      <c r="Y213" s="50">
        <v>0</v>
      </c>
      <c r="Z213" s="50">
        <v>0</v>
      </c>
      <c r="AA213" s="50">
        <v>0</v>
      </c>
      <c r="AG213">
        <v>0</v>
      </c>
      <c r="AH213">
        <v>0</v>
      </c>
      <c r="AI213">
        <v>0</v>
      </c>
      <c r="AJ213">
        <v>0</v>
      </c>
      <c r="AK213">
        <v>22730000</v>
      </c>
      <c r="AL213">
        <v>0</v>
      </c>
      <c r="AM213">
        <v>0</v>
      </c>
      <c r="AN213">
        <v>3696800</v>
      </c>
      <c r="AO213">
        <v>55368000</v>
      </c>
      <c r="AP213">
        <v>50600000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7:52" x14ac:dyDescent="0.25">
      <c r="G214" s="18">
        <v>9</v>
      </c>
      <c r="H214" s="50">
        <v>0</v>
      </c>
      <c r="I214" s="50">
        <v>0</v>
      </c>
      <c r="J214" s="50">
        <v>0</v>
      </c>
      <c r="K214" s="50">
        <v>0</v>
      </c>
      <c r="L214" s="50">
        <v>0</v>
      </c>
      <c r="M214" s="50">
        <v>0</v>
      </c>
      <c r="N214" s="50">
        <v>0</v>
      </c>
      <c r="O214" s="50">
        <v>55368000</v>
      </c>
      <c r="P214" s="50">
        <v>10051200</v>
      </c>
      <c r="Q214" s="50">
        <v>0</v>
      </c>
      <c r="R214" s="50">
        <v>0</v>
      </c>
      <c r="S214" s="50">
        <v>28827600</v>
      </c>
      <c r="T214" s="50">
        <v>0</v>
      </c>
      <c r="U214" s="50">
        <v>0</v>
      </c>
      <c r="V214" s="50">
        <v>7483200</v>
      </c>
      <c r="W214" s="50">
        <v>7397600</v>
      </c>
      <c r="X214" s="50">
        <v>0</v>
      </c>
      <c r="Y214" s="50">
        <v>0</v>
      </c>
      <c r="Z214" s="50">
        <v>0</v>
      </c>
      <c r="AA214" s="50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55368000</v>
      </c>
      <c r="AO214">
        <v>10031200</v>
      </c>
      <c r="AP214">
        <v>0</v>
      </c>
      <c r="AQ214">
        <v>0</v>
      </c>
      <c r="AR214">
        <v>28827600</v>
      </c>
      <c r="AS214">
        <v>0</v>
      </c>
      <c r="AT214">
        <v>0</v>
      </c>
      <c r="AU214">
        <v>7483200</v>
      </c>
      <c r="AV214">
        <v>7397600</v>
      </c>
      <c r="AW214">
        <v>0</v>
      </c>
      <c r="AX214">
        <v>0</v>
      </c>
      <c r="AY214">
        <v>0</v>
      </c>
      <c r="AZ214">
        <v>0</v>
      </c>
    </row>
    <row r="215" spans="7:52" x14ac:dyDescent="0.25">
      <c r="G215" s="18">
        <v>10</v>
      </c>
      <c r="H215" s="50">
        <v>0</v>
      </c>
      <c r="I215" s="50">
        <v>0</v>
      </c>
      <c r="J215" s="50">
        <v>0</v>
      </c>
      <c r="K215" s="50">
        <v>0</v>
      </c>
      <c r="L215" s="50">
        <v>0</v>
      </c>
      <c r="M215" s="50">
        <v>0</v>
      </c>
      <c r="N215" s="50">
        <v>36677200</v>
      </c>
      <c r="O215" s="50">
        <v>50600000</v>
      </c>
      <c r="P215" s="50">
        <v>0</v>
      </c>
      <c r="Q215" s="50">
        <v>1748000</v>
      </c>
      <c r="R215" s="50">
        <v>0</v>
      </c>
      <c r="S215" s="50">
        <v>0</v>
      </c>
      <c r="T215" s="50">
        <v>0</v>
      </c>
      <c r="U215" s="50">
        <v>0</v>
      </c>
      <c r="V215" s="50">
        <v>0</v>
      </c>
      <c r="W215" s="50">
        <v>0</v>
      </c>
      <c r="X215" s="50">
        <v>0</v>
      </c>
      <c r="Y215" s="50">
        <v>0</v>
      </c>
      <c r="Z215" s="50">
        <v>0</v>
      </c>
      <c r="AA215" s="50">
        <v>89506800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36677200</v>
      </c>
      <c r="AN215">
        <v>50600000</v>
      </c>
      <c r="AO215">
        <v>0</v>
      </c>
      <c r="AP215">
        <v>1728000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89506800</v>
      </c>
    </row>
    <row r="216" spans="7:52" x14ac:dyDescent="0.25">
      <c r="G216" s="18">
        <v>11</v>
      </c>
      <c r="H216" s="50">
        <v>2860800</v>
      </c>
      <c r="I216" s="50">
        <v>0</v>
      </c>
      <c r="J216" s="50">
        <v>0</v>
      </c>
      <c r="K216" s="50">
        <v>2261600</v>
      </c>
      <c r="L216" s="50">
        <v>0</v>
      </c>
      <c r="M216" s="50">
        <v>0</v>
      </c>
      <c r="N216" s="50">
        <v>0</v>
      </c>
      <c r="O216" s="50">
        <v>0</v>
      </c>
      <c r="P216" s="50">
        <v>0</v>
      </c>
      <c r="Q216" s="50">
        <v>0</v>
      </c>
      <c r="R216" s="50">
        <v>9280800</v>
      </c>
      <c r="S216" s="50">
        <v>20428800</v>
      </c>
      <c r="T216" s="50">
        <v>51692800</v>
      </c>
      <c r="U216" s="50">
        <v>0</v>
      </c>
      <c r="V216" s="50">
        <v>0</v>
      </c>
      <c r="W216" s="50">
        <v>0</v>
      </c>
      <c r="X216" s="50">
        <v>0</v>
      </c>
      <c r="Y216" s="50">
        <v>0</v>
      </c>
      <c r="Z216" s="50">
        <v>0</v>
      </c>
      <c r="AA216" s="50">
        <v>0</v>
      </c>
      <c r="AG216">
        <v>2860800</v>
      </c>
      <c r="AH216">
        <v>0</v>
      </c>
      <c r="AI216">
        <v>0</v>
      </c>
      <c r="AJ216">
        <v>2261600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9260800</v>
      </c>
      <c r="AR216">
        <v>20428800</v>
      </c>
      <c r="AS216">
        <v>51692800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7:52" x14ac:dyDescent="0.25">
      <c r="G217" s="18">
        <v>12</v>
      </c>
      <c r="H217" s="50">
        <v>5010800</v>
      </c>
      <c r="I217" s="50">
        <v>0</v>
      </c>
      <c r="J217" s="50">
        <v>0</v>
      </c>
      <c r="K217" s="50">
        <v>0</v>
      </c>
      <c r="L217" s="50">
        <v>0</v>
      </c>
      <c r="M217" s="50">
        <v>0</v>
      </c>
      <c r="N217" s="50">
        <v>0</v>
      </c>
      <c r="O217" s="50">
        <v>0</v>
      </c>
      <c r="P217" s="50">
        <v>28827600</v>
      </c>
      <c r="Q217" s="50">
        <v>0</v>
      </c>
      <c r="R217" s="50">
        <v>20428800</v>
      </c>
      <c r="S217" s="50">
        <v>2176000</v>
      </c>
      <c r="T217" s="50">
        <v>0</v>
      </c>
      <c r="U217" s="50">
        <v>0</v>
      </c>
      <c r="V217" s="50">
        <v>0</v>
      </c>
      <c r="W217" s="50">
        <v>11440800</v>
      </c>
      <c r="X217" s="50">
        <v>0</v>
      </c>
      <c r="Y217" s="50">
        <v>0</v>
      </c>
      <c r="Z217" s="50">
        <v>29210000</v>
      </c>
      <c r="AA217" s="50">
        <v>0</v>
      </c>
      <c r="AG217">
        <v>5010800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28827600</v>
      </c>
      <c r="AP217">
        <v>0</v>
      </c>
      <c r="AQ217">
        <v>20428800</v>
      </c>
      <c r="AR217">
        <v>2156000</v>
      </c>
      <c r="AS217">
        <v>0</v>
      </c>
      <c r="AT217">
        <v>0</v>
      </c>
      <c r="AU217">
        <v>0</v>
      </c>
      <c r="AV217">
        <v>11440800</v>
      </c>
      <c r="AW217">
        <v>0</v>
      </c>
      <c r="AX217">
        <v>0</v>
      </c>
      <c r="AY217">
        <v>29210000</v>
      </c>
      <c r="AZ217">
        <v>0</v>
      </c>
    </row>
    <row r="218" spans="7:52" x14ac:dyDescent="0.25">
      <c r="G218" s="18">
        <v>13</v>
      </c>
      <c r="H218" s="50">
        <v>0</v>
      </c>
      <c r="I218" s="50">
        <v>86647600</v>
      </c>
      <c r="J218" s="50">
        <v>0</v>
      </c>
      <c r="K218" s="50">
        <v>0</v>
      </c>
      <c r="L218" s="50">
        <v>0</v>
      </c>
      <c r="M218" s="50">
        <v>0</v>
      </c>
      <c r="N218" s="50">
        <v>0</v>
      </c>
      <c r="O218" s="50">
        <v>0</v>
      </c>
      <c r="P218" s="50">
        <v>0</v>
      </c>
      <c r="Q218" s="50">
        <v>0</v>
      </c>
      <c r="R218" s="50">
        <v>51692800</v>
      </c>
      <c r="S218" s="50">
        <v>0</v>
      </c>
      <c r="T218" s="50">
        <v>892000</v>
      </c>
      <c r="U218" s="50">
        <v>0</v>
      </c>
      <c r="V218" s="50">
        <v>0</v>
      </c>
      <c r="W218" s="50">
        <v>40831600</v>
      </c>
      <c r="X218" s="50">
        <v>42639200</v>
      </c>
      <c r="Y218" s="50">
        <v>0</v>
      </c>
      <c r="Z218" s="50">
        <v>0</v>
      </c>
      <c r="AA218" s="50">
        <v>0</v>
      </c>
      <c r="AG218">
        <v>0</v>
      </c>
      <c r="AH218">
        <v>86647600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51692800</v>
      </c>
      <c r="AR218">
        <v>0</v>
      </c>
      <c r="AS218">
        <v>872000</v>
      </c>
      <c r="AT218">
        <v>0</v>
      </c>
      <c r="AU218">
        <v>0</v>
      </c>
      <c r="AV218">
        <v>40831600</v>
      </c>
      <c r="AW218">
        <v>42639200</v>
      </c>
      <c r="AX218">
        <v>0</v>
      </c>
      <c r="AY218">
        <v>0</v>
      </c>
      <c r="AZ218">
        <v>0</v>
      </c>
    </row>
    <row r="219" spans="7:52" x14ac:dyDescent="0.25">
      <c r="G219" s="18">
        <v>14</v>
      </c>
      <c r="H219" s="50">
        <v>0</v>
      </c>
      <c r="I219" s="50">
        <v>0</v>
      </c>
      <c r="J219" s="50">
        <v>5695600</v>
      </c>
      <c r="K219" s="50">
        <v>0</v>
      </c>
      <c r="L219" s="50">
        <v>25443600</v>
      </c>
      <c r="M219" s="50">
        <v>0</v>
      </c>
      <c r="N219" s="50">
        <v>0</v>
      </c>
      <c r="O219" s="50">
        <v>0</v>
      </c>
      <c r="P219" s="50">
        <v>0</v>
      </c>
      <c r="Q219" s="50">
        <v>0</v>
      </c>
      <c r="R219" s="50">
        <v>0</v>
      </c>
      <c r="S219" s="50">
        <v>0</v>
      </c>
      <c r="T219" s="50">
        <v>0</v>
      </c>
      <c r="U219" s="50">
        <v>2090400</v>
      </c>
      <c r="V219" s="50">
        <v>0</v>
      </c>
      <c r="W219" s="50">
        <v>11878800</v>
      </c>
      <c r="X219" s="50">
        <v>0</v>
      </c>
      <c r="Y219" s="50">
        <v>0</v>
      </c>
      <c r="Z219" s="50">
        <v>0</v>
      </c>
      <c r="AA219" s="50">
        <v>0</v>
      </c>
      <c r="AG219">
        <v>0</v>
      </c>
      <c r="AH219">
        <v>0</v>
      </c>
      <c r="AI219">
        <v>5695600</v>
      </c>
      <c r="AJ219">
        <v>0</v>
      </c>
      <c r="AK219">
        <v>25443600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2070400</v>
      </c>
      <c r="AU219">
        <v>0</v>
      </c>
      <c r="AV219">
        <v>11878800</v>
      </c>
      <c r="AW219">
        <v>0</v>
      </c>
      <c r="AX219">
        <v>0</v>
      </c>
      <c r="AY219">
        <v>0</v>
      </c>
      <c r="AZ219">
        <v>0</v>
      </c>
    </row>
    <row r="220" spans="7:52" x14ac:dyDescent="0.25">
      <c r="G220" s="18">
        <v>15</v>
      </c>
      <c r="H220" s="50">
        <v>0</v>
      </c>
      <c r="I220" s="50">
        <v>0</v>
      </c>
      <c r="J220" s="50">
        <v>0</v>
      </c>
      <c r="K220" s="50">
        <v>0</v>
      </c>
      <c r="L220" s="50">
        <v>51486000</v>
      </c>
      <c r="M220" s="50">
        <v>0</v>
      </c>
      <c r="N220" s="50">
        <v>0</v>
      </c>
      <c r="O220" s="50">
        <v>0</v>
      </c>
      <c r="P220" s="50">
        <v>7483200</v>
      </c>
      <c r="Q220" s="50">
        <v>0</v>
      </c>
      <c r="R220" s="50">
        <v>0</v>
      </c>
      <c r="S220" s="50">
        <v>0</v>
      </c>
      <c r="T220" s="50">
        <v>0</v>
      </c>
      <c r="U220" s="50">
        <v>0</v>
      </c>
      <c r="V220" s="50">
        <v>5600000</v>
      </c>
      <c r="W220" s="50">
        <v>0</v>
      </c>
      <c r="X220" s="50">
        <v>0</v>
      </c>
      <c r="Y220" s="50">
        <v>0</v>
      </c>
      <c r="Z220" s="50">
        <v>0</v>
      </c>
      <c r="AA220" s="50">
        <v>0</v>
      </c>
      <c r="AG220">
        <v>0</v>
      </c>
      <c r="AH220">
        <v>0</v>
      </c>
      <c r="AI220">
        <v>0</v>
      </c>
      <c r="AJ220">
        <v>0</v>
      </c>
      <c r="AK220">
        <v>51486000</v>
      </c>
      <c r="AL220">
        <v>0</v>
      </c>
      <c r="AM220">
        <v>0</v>
      </c>
      <c r="AN220">
        <v>0</v>
      </c>
      <c r="AO220">
        <v>7483200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5580000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7:52" x14ac:dyDescent="0.25">
      <c r="G221" s="18">
        <v>16</v>
      </c>
      <c r="H221" s="50">
        <v>0</v>
      </c>
      <c r="I221" s="50">
        <v>0</v>
      </c>
      <c r="J221" s="50">
        <v>0</v>
      </c>
      <c r="K221" s="50">
        <v>0</v>
      </c>
      <c r="L221" s="50">
        <v>13314000</v>
      </c>
      <c r="M221" s="50">
        <v>0</v>
      </c>
      <c r="N221" s="50">
        <v>0</v>
      </c>
      <c r="O221" s="50">
        <v>0</v>
      </c>
      <c r="P221" s="50">
        <v>7397600</v>
      </c>
      <c r="Q221" s="50">
        <v>0</v>
      </c>
      <c r="R221" s="50">
        <v>0</v>
      </c>
      <c r="S221" s="50">
        <v>11440800</v>
      </c>
      <c r="T221" s="50">
        <v>40831600</v>
      </c>
      <c r="U221" s="50">
        <v>11878800</v>
      </c>
      <c r="V221" s="50">
        <v>0</v>
      </c>
      <c r="W221" s="50">
        <v>5428800</v>
      </c>
      <c r="X221" s="50">
        <v>0</v>
      </c>
      <c r="Y221" s="50">
        <v>0</v>
      </c>
      <c r="Z221" s="50">
        <v>0</v>
      </c>
      <c r="AA221" s="50">
        <v>0</v>
      </c>
      <c r="AG221">
        <v>0</v>
      </c>
      <c r="AH221">
        <v>0</v>
      </c>
      <c r="AI221">
        <v>0</v>
      </c>
      <c r="AJ221">
        <v>0</v>
      </c>
      <c r="AK221">
        <v>13314000</v>
      </c>
      <c r="AL221">
        <v>0</v>
      </c>
      <c r="AM221">
        <v>0</v>
      </c>
      <c r="AN221">
        <v>0</v>
      </c>
      <c r="AO221">
        <v>7397600</v>
      </c>
      <c r="AP221">
        <v>0</v>
      </c>
      <c r="AQ221">
        <v>0</v>
      </c>
      <c r="AR221">
        <v>11440800</v>
      </c>
      <c r="AS221">
        <v>40831600</v>
      </c>
      <c r="AT221">
        <v>11878800</v>
      </c>
      <c r="AU221">
        <v>0</v>
      </c>
      <c r="AV221">
        <v>5408800</v>
      </c>
      <c r="AW221">
        <v>0</v>
      </c>
      <c r="AX221">
        <v>0</v>
      </c>
      <c r="AY221">
        <v>0</v>
      </c>
      <c r="AZ221">
        <v>0</v>
      </c>
    </row>
    <row r="222" spans="7:52" x14ac:dyDescent="0.25">
      <c r="G222" s="18">
        <v>17</v>
      </c>
      <c r="H222" s="50">
        <v>0</v>
      </c>
      <c r="I222" s="50">
        <v>0</v>
      </c>
      <c r="J222" s="50">
        <v>0</v>
      </c>
      <c r="K222" s="50">
        <v>0</v>
      </c>
      <c r="L222" s="50">
        <v>0</v>
      </c>
      <c r="M222" s="50">
        <v>0</v>
      </c>
      <c r="N222" s="50">
        <v>0</v>
      </c>
      <c r="O222" s="50">
        <v>0</v>
      </c>
      <c r="P222" s="50">
        <v>0</v>
      </c>
      <c r="Q222" s="50">
        <v>0</v>
      </c>
      <c r="R222" s="50">
        <v>0</v>
      </c>
      <c r="S222" s="50">
        <v>0</v>
      </c>
      <c r="T222" s="50">
        <v>42639200</v>
      </c>
      <c r="U222" s="50">
        <v>0</v>
      </c>
      <c r="V222" s="50">
        <v>0</v>
      </c>
      <c r="W222" s="50">
        <v>0</v>
      </c>
      <c r="X222" s="50">
        <v>5771200</v>
      </c>
      <c r="Y222" s="50">
        <v>0</v>
      </c>
      <c r="Z222" s="50">
        <v>0</v>
      </c>
      <c r="AA222" s="50">
        <v>17508400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42639200</v>
      </c>
      <c r="AT222">
        <v>0</v>
      </c>
      <c r="AU222">
        <v>0</v>
      </c>
      <c r="AV222">
        <v>0</v>
      </c>
      <c r="AW222">
        <v>5751200</v>
      </c>
      <c r="AX222">
        <v>0</v>
      </c>
      <c r="AY222">
        <v>0</v>
      </c>
      <c r="AZ222">
        <v>17508400</v>
      </c>
    </row>
    <row r="223" spans="7:52" x14ac:dyDescent="0.25">
      <c r="G223" s="18">
        <v>18</v>
      </c>
      <c r="H223" s="50">
        <v>15484000</v>
      </c>
      <c r="I223" s="50">
        <v>81999600</v>
      </c>
      <c r="J223" s="50">
        <v>0</v>
      </c>
      <c r="K223" s="50">
        <v>0</v>
      </c>
      <c r="L223" s="50">
        <v>0</v>
      </c>
      <c r="M223" s="50">
        <v>29874800</v>
      </c>
      <c r="N223" s="50">
        <v>0</v>
      </c>
      <c r="O223" s="50">
        <v>0</v>
      </c>
      <c r="P223" s="50">
        <v>0</v>
      </c>
      <c r="Q223" s="50">
        <v>0</v>
      </c>
      <c r="R223" s="50">
        <v>0</v>
      </c>
      <c r="S223" s="50">
        <v>0</v>
      </c>
      <c r="T223" s="50">
        <v>0</v>
      </c>
      <c r="U223" s="50">
        <v>0</v>
      </c>
      <c r="V223" s="50">
        <v>0</v>
      </c>
      <c r="W223" s="50">
        <v>0</v>
      </c>
      <c r="X223" s="50">
        <v>0</v>
      </c>
      <c r="Y223" s="50">
        <v>720800</v>
      </c>
      <c r="Z223" s="50">
        <v>36058000</v>
      </c>
      <c r="AA223" s="50">
        <v>0</v>
      </c>
      <c r="AG223">
        <v>15484000</v>
      </c>
      <c r="AH223">
        <v>81999600</v>
      </c>
      <c r="AI223">
        <v>0</v>
      </c>
      <c r="AJ223">
        <v>0</v>
      </c>
      <c r="AK223">
        <v>0</v>
      </c>
      <c r="AL223">
        <v>29874800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700800</v>
      </c>
      <c r="AY223">
        <v>36058000</v>
      </c>
      <c r="AZ223">
        <v>0</v>
      </c>
    </row>
    <row r="224" spans="7:52" x14ac:dyDescent="0.25">
      <c r="G224" s="18">
        <v>19</v>
      </c>
      <c r="H224" s="50">
        <v>0</v>
      </c>
      <c r="I224" s="50">
        <v>0</v>
      </c>
      <c r="J224" s="50">
        <v>0</v>
      </c>
      <c r="K224" s="50">
        <v>14869200</v>
      </c>
      <c r="L224" s="50">
        <v>0</v>
      </c>
      <c r="M224" s="50">
        <v>0</v>
      </c>
      <c r="N224" s="50">
        <v>0</v>
      </c>
      <c r="O224" s="50">
        <v>0</v>
      </c>
      <c r="P224" s="50">
        <v>0</v>
      </c>
      <c r="Q224" s="50">
        <v>0</v>
      </c>
      <c r="R224" s="50">
        <v>0</v>
      </c>
      <c r="S224" s="50">
        <v>29210000</v>
      </c>
      <c r="T224" s="50">
        <v>0</v>
      </c>
      <c r="U224" s="50">
        <v>0</v>
      </c>
      <c r="V224" s="50">
        <v>0</v>
      </c>
      <c r="W224" s="50">
        <v>0</v>
      </c>
      <c r="X224" s="50">
        <v>0</v>
      </c>
      <c r="Y224" s="50">
        <v>36058000</v>
      </c>
      <c r="Z224" s="50">
        <v>1234400</v>
      </c>
      <c r="AA224" s="50">
        <v>0</v>
      </c>
      <c r="AG224">
        <v>0</v>
      </c>
      <c r="AH224">
        <v>0</v>
      </c>
      <c r="AI224">
        <v>0</v>
      </c>
      <c r="AJ224">
        <v>14869200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29210000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36058000</v>
      </c>
      <c r="AY224">
        <v>1214400</v>
      </c>
      <c r="AZ224">
        <v>0</v>
      </c>
    </row>
    <row r="225" spans="7:52" ht="15.75" thickBot="1" x14ac:dyDescent="0.3">
      <c r="G225" s="19">
        <v>20</v>
      </c>
      <c r="H225" s="50">
        <v>0</v>
      </c>
      <c r="I225" s="50">
        <v>78802400</v>
      </c>
      <c r="J225" s="50">
        <v>0</v>
      </c>
      <c r="K225" s="50">
        <v>0</v>
      </c>
      <c r="L225" s="50">
        <v>0</v>
      </c>
      <c r="M225" s="50">
        <v>0</v>
      </c>
      <c r="N225" s="50">
        <v>0</v>
      </c>
      <c r="O225" s="50">
        <v>0</v>
      </c>
      <c r="P225" s="50">
        <v>0</v>
      </c>
      <c r="Q225" s="50">
        <v>89506800</v>
      </c>
      <c r="R225" s="50">
        <v>0</v>
      </c>
      <c r="S225" s="50">
        <v>0</v>
      </c>
      <c r="T225" s="50">
        <v>0</v>
      </c>
      <c r="U225" s="50">
        <v>0</v>
      </c>
      <c r="V225" s="50">
        <v>0</v>
      </c>
      <c r="W225" s="50">
        <v>0</v>
      </c>
      <c r="X225" s="50">
        <v>17508400</v>
      </c>
      <c r="Y225" s="50">
        <v>0</v>
      </c>
      <c r="Z225" s="50">
        <v>0</v>
      </c>
      <c r="AA225" s="50">
        <v>549600</v>
      </c>
      <c r="AC225">
        <f>SUM(H206:AA225)</f>
        <v>2206158400</v>
      </c>
      <c r="AG225">
        <v>0</v>
      </c>
      <c r="AH225">
        <v>78802400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89506800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17508400</v>
      </c>
      <c r="AX225">
        <v>0</v>
      </c>
      <c r="AY225">
        <v>0</v>
      </c>
      <c r="AZ225">
        <v>529600</v>
      </c>
    </row>
    <row r="226" spans="7:52" x14ac:dyDescent="0.25">
      <c r="AB226">
        <f>SUM(H206:AA225)</f>
        <v>2206158400</v>
      </c>
      <c r="AZ226">
        <f>SUM(AG206:AZ225)</f>
        <v>2205758400</v>
      </c>
    </row>
    <row r="229" spans="7:52" ht="15.75" thickBot="1" x14ac:dyDescent="0.3">
      <c r="H229" s="1" t="s">
        <v>48</v>
      </c>
    </row>
    <row r="230" spans="7:52" ht="15.75" thickBot="1" x14ac:dyDescent="0.3">
      <c r="H230" s="16">
        <v>1</v>
      </c>
      <c r="I230" s="20">
        <v>2</v>
      </c>
      <c r="J230" s="21">
        <v>3</v>
      </c>
      <c r="K230" s="21">
        <v>4</v>
      </c>
      <c r="L230" s="21">
        <v>5</v>
      </c>
      <c r="M230" s="21">
        <v>6</v>
      </c>
      <c r="N230" s="21">
        <v>7</v>
      </c>
      <c r="O230" s="21">
        <v>8</v>
      </c>
      <c r="P230" s="21">
        <v>9</v>
      </c>
      <c r="Q230" s="21">
        <v>10</v>
      </c>
      <c r="R230" s="21">
        <v>11</v>
      </c>
      <c r="S230" s="21">
        <v>12</v>
      </c>
      <c r="T230" s="21">
        <v>13</v>
      </c>
      <c r="U230" s="21">
        <v>14</v>
      </c>
      <c r="V230" s="21">
        <v>15</v>
      </c>
      <c r="W230" s="21">
        <v>16</v>
      </c>
      <c r="X230" s="21">
        <v>17</v>
      </c>
      <c r="Y230" s="21">
        <v>18</v>
      </c>
      <c r="Z230" s="21">
        <v>19</v>
      </c>
      <c r="AA230" s="22">
        <v>20</v>
      </c>
    </row>
    <row r="231" spans="7:52" x14ac:dyDescent="0.25">
      <c r="G231" s="23">
        <v>1</v>
      </c>
      <c r="H231" s="51">
        <v>4.4443999999999997E-2</v>
      </c>
      <c r="I231" s="51">
        <v>0</v>
      </c>
      <c r="J231" s="51">
        <v>0</v>
      </c>
      <c r="K231" s="51">
        <v>0</v>
      </c>
      <c r="L231" s="51">
        <v>0</v>
      </c>
      <c r="M231" s="51">
        <v>0</v>
      </c>
      <c r="N231" s="51">
        <v>0</v>
      </c>
      <c r="O231" s="51">
        <v>0</v>
      </c>
      <c r="P231" s="51">
        <v>0</v>
      </c>
      <c r="Q231" s="51">
        <v>0</v>
      </c>
      <c r="R231" s="51">
        <v>4.4443999999999997E-2</v>
      </c>
      <c r="S231" s="51">
        <v>3.4783000000000001E-2</v>
      </c>
      <c r="T231" s="51">
        <v>0</v>
      </c>
      <c r="U231" s="51">
        <v>0</v>
      </c>
      <c r="V231" s="51">
        <v>0</v>
      </c>
      <c r="W231" s="51">
        <v>0</v>
      </c>
      <c r="X231" s="51">
        <v>0</v>
      </c>
      <c r="Y231" s="51">
        <v>2.1052999999999999E-2</v>
      </c>
      <c r="Z231" s="51">
        <v>0</v>
      </c>
      <c r="AA231" s="51">
        <v>0</v>
      </c>
    </row>
    <row r="232" spans="7:52" x14ac:dyDescent="0.25">
      <c r="G232" s="17">
        <v>2</v>
      </c>
      <c r="H232" s="51">
        <v>0</v>
      </c>
      <c r="I232" s="51">
        <v>4.4443999999999997E-2</v>
      </c>
      <c r="J232" s="51">
        <v>2.4242E-2</v>
      </c>
      <c r="K232" s="51">
        <v>0</v>
      </c>
      <c r="L232" s="51">
        <v>1.6667000000000001E-2</v>
      </c>
      <c r="M232" s="51">
        <v>0</v>
      </c>
      <c r="N232" s="51">
        <v>0</v>
      </c>
      <c r="O232" s="51">
        <v>0</v>
      </c>
      <c r="P232" s="51">
        <v>0</v>
      </c>
      <c r="Q232" s="51">
        <v>0</v>
      </c>
      <c r="R232" s="51">
        <v>0</v>
      </c>
      <c r="S232" s="51">
        <v>0</v>
      </c>
      <c r="T232" s="51">
        <v>1.5094E-2</v>
      </c>
      <c r="U232" s="51">
        <v>0</v>
      </c>
      <c r="V232" s="51">
        <v>0</v>
      </c>
      <c r="W232" s="51">
        <v>0</v>
      </c>
      <c r="X232" s="51">
        <v>0</v>
      </c>
      <c r="Y232" s="51">
        <v>9.639E-3</v>
      </c>
      <c r="Z232" s="51">
        <v>0</v>
      </c>
      <c r="AA232" s="51">
        <v>1.1764999999999999E-2</v>
      </c>
    </row>
    <row r="233" spans="7:52" x14ac:dyDescent="0.25">
      <c r="G233" s="18">
        <v>3</v>
      </c>
      <c r="H233" s="51">
        <v>0</v>
      </c>
      <c r="I233" s="51">
        <v>2.4242E-2</v>
      </c>
      <c r="J233" s="51">
        <v>4.4443999999999997E-2</v>
      </c>
      <c r="K233" s="51">
        <v>0</v>
      </c>
      <c r="L233" s="51">
        <v>0</v>
      </c>
      <c r="M233" s="51">
        <v>0</v>
      </c>
      <c r="N233" s="51">
        <v>0</v>
      </c>
      <c r="O233" s="51">
        <v>0</v>
      </c>
      <c r="P233" s="51">
        <v>0</v>
      </c>
      <c r="Q233" s="51">
        <v>0</v>
      </c>
      <c r="R233" s="51">
        <v>0</v>
      </c>
      <c r="S233" s="51">
        <v>0</v>
      </c>
      <c r="T233" s="51">
        <v>0</v>
      </c>
      <c r="U233" s="51">
        <v>3.4783000000000001E-2</v>
      </c>
      <c r="V233" s="51">
        <v>0</v>
      </c>
      <c r="W233" s="51">
        <v>0</v>
      </c>
      <c r="X233" s="51">
        <v>0</v>
      </c>
      <c r="Y233" s="51">
        <v>0</v>
      </c>
      <c r="Z233" s="51">
        <v>0</v>
      </c>
      <c r="AA233" s="51">
        <v>0</v>
      </c>
    </row>
    <row r="234" spans="7:52" x14ac:dyDescent="0.25">
      <c r="G234" s="18">
        <v>4</v>
      </c>
      <c r="H234" s="51">
        <v>0</v>
      </c>
      <c r="I234" s="51">
        <v>0</v>
      </c>
      <c r="J234" s="51">
        <v>0</v>
      </c>
      <c r="K234" s="51">
        <v>4.4443999999999997E-2</v>
      </c>
      <c r="L234" s="51">
        <v>0</v>
      </c>
      <c r="M234" s="51">
        <v>0</v>
      </c>
      <c r="N234" s="51">
        <v>0</v>
      </c>
      <c r="O234" s="51">
        <v>0</v>
      </c>
      <c r="P234" s="51">
        <v>0</v>
      </c>
      <c r="Q234" s="51">
        <v>0</v>
      </c>
      <c r="R234" s="51">
        <v>4.4443999999999997E-2</v>
      </c>
      <c r="S234" s="51">
        <v>0</v>
      </c>
      <c r="T234" s="51">
        <v>0</v>
      </c>
      <c r="U234" s="51">
        <v>0</v>
      </c>
      <c r="V234" s="51">
        <v>0</v>
      </c>
      <c r="W234" s="51">
        <v>0</v>
      </c>
      <c r="X234" s="51">
        <v>0</v>
      </c>
      <c r="Y234" s="51">
        <v>0</v>
      </c>
      <c r="Z234" s="51">
        <v>1.0959E-2</v>
      </c>
      <c r="AA234" s="51">
        <v>0</v>
      </c>
    </row>
    <row r="235" spans="7:52" x14ac:dyDescent="0.25">
      <c r="G235" s="18">
        <v>5</v>
      </c>
      <c r="H235" s="51">
        <v>0</v>
      </c>
      <c r="I235" s="51">
        <v>1.6667000000000001E-2</v>
      </c>
      <c r="J235" s="51">
        <v>0</v>
      </c>
      <c r="K235" s="51">
        <v>0</v>
      </c>
      <c r="L235" s="51">
        <v>4.4443999999999997E-2</v>
      </c>
      <c r="M235" s="51">
        <v>0</v>
      </c>
      <c r="N235" s="51">
        <v>0</v>
      </c>
      <c r="O235" s="51">
        <v>3.4783000000000001E-2</v>
      </c>
      <c r="P235" s="51">
        <v>0</v>
      </c>
      <c r="Q235" s="51">
        <v>0</v>
      </c>
      <c r="R235" s="51">
        <v>0</v>
      </c>
      <c r="S235" s="51">
        <v>0</v>
      </c>
      <c r="T235" s="51">
        <v>0</v>
      </c>
      <c r="U235" s="51">
        <v>1.5094E-2</v>
      </c>
      <c r="V235" s="51">
        <v>1.2697999999999999E-2</v>
      </c>
      <c r="W235" s="51">
        <v>3.4783000000000001E-2</v>
      </c>
      <c r="X235" s="51">
        <v>0</v>
      </c>
      <c r="Y235" s="51">
        <v>0</v>
      </c>
      <c r="Z235" s="51">
        <v>0</v>
      </c>
      <c r="AA235" s="51">
        <v>0</v>
      </c>
    </row>
    <row r="236" spans="7:52" x14ac:dyDescent="0.25">
      <c r="G236" s="18">
        <v>6</v>
      </c>
      <c r="H236" s="51">
        <v>0</v>
      </c>
      <c r="I236" s="51">
        <v>0</v>
      </c>
      <c r="J236" s="51">
        <v>0</v>
      </c>
      <c r="K236" s="51">
        <v>0</v>
      </c>
      <c r="L236" s="51">
        <v>0</v>
      </c>
      <c r="M236" s="51">
        <v>4.4443999999999997E-2</v>
      </c>
      <c r="N236" s="51">
        <v>0</v>
      </c>
      <c r="O236" s="51">
        <v>0</v>
      </c>
      <c r="P236" s="51">
        <v>0</v>
      </c>
      <c r="Q236" s="51">
        <v>0</v>
      </c>
      <c r="R236" s="51">
        <v>0</v>
      </c>
      <c r="S236" s="51">
        <v>0</v>
      </c>
      <c r="T236" s="51">
        <v>0</v>
      </c>
      <c r="U236" s="51">
        <v>0</v>
      </c>
      <c r="V236" s="51">
        <v>0</v>
      </c>
      <c r="W236" s="51">
        <v>0</v>
      </c>
      <c r="X236" s="51">
        <v>0</v>
      </c>
      <c r="Y236" s="51">
        <v>1.8605E-2</v>
      </c>
      <c r="Z236" s="51">
        <v>0</v>
      </c>
      <c r="AA236" s="51">
        <v>0</v>
      </c>
    </row>
    <row r="237" spans="7:52" x14ac:dyDescent="0.25">
      <c r="G237" s="18">
        <v>7</v>
      </c>
      <c r="H237" s="51">
        <v>0</v>
      </c>
      <c r="I237" s="51">
        <v>0</v>
      </c>
      <c r="J237" s="51">
        <v>0</v>
      </c>
      <c r="K237" s="51">
        <v>0</v>
      </c>
      <c r="L237" s="51">
        <v>0</v>
      </c>
      <c r="M237" s="51">
        <v>0</v>
      </c>
      <c r="N237" s="51">
        <v>4.4443999999999997E-2</v>
      </c>
      <c r="O237" s="51">
        <v>0</v>
      </c>
      <c r="P237" s="51">
        <v>0</v>
      </c>
      <c r="Q237" s="51">
        <v>1.2697999999999999E-2</v>
      </c>
      <c r="R237" s="51">
        <v>0</v>
      </c>
      <c r="S237" s="51">
        <v>0</v>
      </c>
      <c r="T237" s="51">
        <v>0</v>
      </c>
      <c r="U237" s="51">
        <v>0</v>
      </c>
      <c r="V237" s="51">
        <v>0</v>
      </c>
      <c r="W237" s="51">
        <v>0</v>
      </c>
      <c r="X237" s="51">
        <v>0</v>
      </c>
      <c r="Y237" s="51">
        <v>0</v>
      </c>
      <c r="Z237" s="51">
        <v>0</v>
      </c>
      <c r="AA237" s="51">
        <v>0</v>
      </c>
    </row>
    <row r="238" spans="7:52" x14ac:dyDescent="0.25">
      <c r="G238" s="18">
        <v>8</v>
      </c>
      <c r="H238" s="51">
        <v>0</v>
      </c>
      <c r="I238" s="51">
        <v>0</v>
      </c>
      <c r="J238" s="51">
        <v>0</v>
      </c>
      <c r="K238" s="51">
        <v>0</v>
      </c>
      <c r="L238" s="51">
        <v>3.4783000000000001E-2</v>
      </c>
      <c r="M238" s="51">
        <v>0</v>
      </c>
      <c r="N238" s="51">
        <v>0</v>
      </c>
      <c r="O238" s="51">
        <v>4.4443999999999997E-2</v>
      </c>
      <c r="P238" s="51">
        <v>1.0255999999999999E-2</v>
      </c>
      <c r="Q238" s="51">
        <v>1.6667000000000001E-2</v>
      </c>
      <c r="R238" s="51">
        <v>0</v>
      </c>
      <c r="S238" s="51">
        <v>0</v>
      </c>
      <c r="T238" s="51">
        <v>0</v>
      </c>
      <c r="U238" s="51">
        <v>0</v>
      </c>
      <c r="V238" s="51">
        <v>0</v>
      </c>
      <c r="W238" s="51">
        <v>0</v>
      </c>
      <c r="X238" s="51">
        <v>0</v>
      </c>
      <c r="Y238" s="51">
        <v>0</v>
      </c>
      <c r="Z238" s="51">
        <v>0</v>
      </c>
      <c r="AA238" s="51">
        <v>0</v>
      </c>
    </row>
    <row r="239" spans="7:52" x14ac:dyDescent="0.25">
      <c r="G239" s="18">
        <v>9</v>
      </c>
      <c r="H239" s="51">
        <v>0</v>
      </c>
      <c r="I239" s="51">
        <v>0</v>
      </c>
      <c r="J239" s="51">
        <v>0</v>
      </c>
      <c r="K239" s="51">
        <v>0</v>
      </c>
      <c r="L239" s="51">
        <v>0</v>
      </c>
      <c r="M239" s="51">
        <v>0</v>
      </c>
      <c r="N239" s="51">
        <v>0</v>
      </c>
      <c r="O239" s="51">
        <v>1.0255999999999999E-2</v>
      </c>
      <c r="P239" s="51">
        <v>4.4443999999999997E-2</v>
      </c>
      <c r="Q239" s="51">
        <v>0</v>
      </c>
      <c r="R239" s="51">
        <v>0</v>
      </c>
      <c r="S239" s="51">
        <v>2.4242E-2</v>
      </c>
      <c r="T239" s="51">
        <v>0</v>
      </c>
      <c r="U239" s="51">
        <v>0</v>
      </c>
      <c r="V239" s="51">
        <v>4.4443999999999997E-2</v>
      </c>
      <c r="W239" s="51">
        <v>4.4443999999999997E-2</v>
      </c>
      <c r="X239" s="51">
        <v>0</v>
      </c>
      <c r="Y239" s="51">
        <v>0</v>
      </c>
      <c r="Z239" s="51">
        <v>0</v>
      </c>
      <c r="AA239" s="51">
        <v>0</v>
      </c>
    </row>
    <row r="240" spans="7:52" x14ac:dyDescent="0.25">
      <c r="G240" s="18">
        <v>10</v>
      </c>
      <c r="H240" s="51">
        <v>0</v>
      </c>
      <c r="I240" s="51">
        <v>0</v>
      </c>
      <c r="J240" s="51">
        <v>0</v>
      </c>
      <c r="K240" s="51">
        <v>0</v>
      </c>
      <c r="L240" s="51">
        <v>0</v>
      </c>
      <c r="M240" s="51">
        <v>0</v>
      </c>
      <c r="N240" s="51">
        <v>1.2697999999999999E-2</v>
      </c>
      <c r="O240" s="51">
        <v>1.6667000000000001E-2</v>
      </c>
      <c r="P240" s="51">
        <v>0</v>
      </c>
      <c r="Q240" s="51">
        <v>4.4443999999999997E-2</v>
      </c>
      <c r="R240" s="51">
        <v>0</v>
      </c>
      <c r="S240" s="51">
        <v>0</v>
      </c>
      <c r="T240" s="51">
        <v>0</v>
      </c>
      <c r="U240" s="51">
        <v>0</v>
      </c>
      <c r="V240" s="51">
        <v>0</v>
      </c>
      <c r="W240" s="51">
        <v>0</v>
      </c>
      <c r="X240" s="51">
        <v>0</v>
      </c>
      <c r="Y240" s="51">
        <v>0</v>
      </c>
      <c r="Z240" s="51">
        <v>0</v>
      </c>
      <c r="AA240" s="51">
        <v>7.0800000000000004E-3</v>
      </c>
    </row>
    <row r="241" spans="7:27" x14ac:dyDescent="0.25">
      <c r="G241" s="18">
        <v>11</v>
      </c>
      <c r="H241" s="51">
        <v>4.4443999999999997E-2</v>
      </c>
      <c r="I241" s="51">
        <v>0</v>
      </c>
      <c r="J241" s="51">
        <v>0</v>
      </c>
      <c r="K241" s="51">
        <v>4.4443999999999997E-2</v>
      </c>
      <c r="L241" s="51">
        <v>0</v>
      </c>
      <c r="M241" s="51">
        <v>0</v>
      </c>
      <c r="N241" s="51">
        <v>0</v>
      </c>
      <c r="O241" s="51">
        <v>0</v>
      </c>
      <c r="P241" s="51">
        <v>0</v>
      </c>
      <c r="Q241" s="51">
        <v>0</v>
      </c>
      <c r="R241" s="51">
        <v>4.4443999999999997E-2</v>
      </c>
      <c r="S241" s="51">
        <v>2.8570999999999999E-2</v>
      </c>
      <c r="T241" s="51">
        <v>2.1052999999999999E-2</v>
      </c>
      <c r="U241" s="51">
        <v>0</v>
      </c>
      <c r="V241" s="51">
        <v>0</v>
      </c>
      <c r="W241" s="51">
        <v>0</v>
      </c>
      <c r="X241" s="51">
        <v>0</v>
      </c>
      <c r="Y241" s="51">
        <v>0</v>
      </c>
      <c r="Z241" s="51">
        <v>0</v>
      </c>
      <c r="AA241" s="51">
        <v>0</v>
      </c>
    </row>
    <row r="242" spans="7:27" x14ac:dyDescent="0.25">
      <c r="G242" s="18">
        <v>12</v>
      </c>
      <c r="H242" s="51">
        <v>3.4783000000000001E-2</v>
      </c>
      <c r="I242" s="51">
        <v>0</v>
      </c>
      <c r="J242" s="51">
        <v>0</v>
      </c>
      <c r="K242" s="51">
        <v>0</v>
      </c>
      <c r="L242" s="51">
        <v>0</v>
      </c>
      <c r="M242" s="51">
        <v>0</v>
      </c>
      <c r="N242" s="51">
        <v>0</v>
      </c>
      <c r="O242" s="51">
        <v>0</v>
      </c>
      <c r="P242" s="51">
        <v>2.4242E-2</v>
      </c>
      <c r="Q242" s="51">
        <v>0</v>
      </c>
      <c r="R242" s="51">
        <v>2.8570999999999999E-2</v>
      </c>
      <c r="S242" s="51">
        <v>4.4443999999999997E-2</v>
      </c>
      <c r="T242" s="51">
        <v>0</v>
      </c>
      <c r="U242" s="51">
        <v>0</v>
      </c>
      <c r="V242" s="51">
        <v>0</v>
      </c>
      <c r="W242" s="51">
        <v>2.8570999999999999E-2</v>
      </c>
      <c r="X242" s="51">
        <v>0</v>
      </c>
      <c r="Y242" s="51">
        <v>0</v>
      </c>
      <c r="Z242" s="51">
        <v>1.5094E-2</v>
      </c>
      <c r="AA242" s="51">
        <v>0</v>
      </c>
    </row>
    <row r="243" spans="7:27" x14ac:dyDescent="0.25">
      <c r="G243" s="18">
        <v>13</v>
      </c>
      <c r="H243" s="51">
        <v>0</v>
      </c>
      <c r="I243" s="51">
        <v>1.5094E-2</v>
      </c>
      <c r="J243" s="51">
        <v>0</v>
      </c>
      <c r="K243" s="51">
        <v>0</v>
      </c>
      <c r="L243" s="51">
        <v>0</v>
      </c>
      <c r="M243" s="51">
        <v>0</v>
      </c>
      <c r="N243" s="51">
        <v>0</v>
      </c>
      <c r="O243" s="51">
        <v>0</v>
      </c>
      <c r="P243" s="51">
        <v>0</v>
      </c>
      <c r="Q243" s="51">
        <v>0</v>
      </c>
      <c r="R243" s="51">
        <v>2.1052999999999999E-2</v>
      </c>
      <c r="S243" s="51">
        <v>0</v>
      </c>
      <c r="T243" s="51">
        <v>4.4443999999999997E-2</v>
      </c>
      <c r="U243" s="51">
        <v>0</v>
      </c>
      <c r="V243" s="51">
        <v>0</v>
      </c>
      <c r="W243" s="51">
        <v>1.8605E-2</v>
      </c>
      <c r="X243" s="51">
        <v>1.6667000000000001E-2</v>
      </c>
      <c r="Y243" s="51">
        <v>0</v>
      </c>
      <c r="Z243" s="51">
        <v>0</v>
      </c>
      <c r="AA243" s="51">
        <v>0</v>
      </c>
    </row>
    <row r="244" spans="7:27" x14ac:dyDescent="0.25">
      <c r="G244" s="18">
        <v>14</v>
      </c>
      <c r="H244" s="51">
        <v>0</v>
      </c>
      <c r="I244" s="51">
        <v>0</v>
      </c>
      <c r="J244" s="51">
        <v>3.4783000000000001E-2</v>
      </c>
      <c r="K244" s="51">
        <v>0</v>
      </c>
      <c r="L244" s="51">
        <v>1.5094E-2</v>
      </c>
      <c r="M244" s="51">
        <v>0</v>
      </c>
      <c r="N244" s="51">
        <v>0</v>
      </c>
      <c r="O244" s="51">
        <v>0</v>
      </c>
      <c r="P244" s="51">
        <v>0</v>
      </c>
      <c r="Q244" s="51">
        <v>0</v>
      </c>
      <c r="R244" s="51">
        <v>0</v>
      </c>
      <c r="S244" s="51">
        <v>0</v>
      </c>
      <c r="T244" s="51">
        <v>0</v>
      </c>
      <c r="U244" s="51">
        <v>4.4443999999999997E-2</v>
      </c>
      <c r="V244" s="51">
        <v>0</v>
      </c>
      <c r="W244" s="51">
        <v>2.4242E-2</v>
      </c>
      <c r="X244" s="51">
        <v>0</v>
      </c>
      <c r="Y244" s="51">
        <v>0</v>
      </c>
      <c r="Z244" s="51">
        <v>0</v>
      </c>
      <c r="AA244" s="51">
        <v>0</v>
      </c>
    </row>
    <row r="245" spans="7:27" x14ac:dyDescent="0.25">
      <c r="G245" s="18">
        <v>15</v>
      </c>
      <c r="H245" s="51">
        <v>0</v>
      </c>
      <c r="I245" s="51">
        <v>0</v>
      </c>
      <c r="J245" s="51">
        <v>0</v>
      </c>
      <c r="K245" s="51">
        <v>0</v>
      </c>
      <c r="L245" s="51">
        <v>1.2697999999999999E-2</v>
      </c>
      <c r="M245" s="51">
        <v>0</v>
      </c>
      <c r="N245" s="51">
        <v>0</v>
      </c>
      <c r="O245" s="51">
        <v>0</v>
      </c>
      <c r="P245" s="51">
        <v>4.4443999999999997E-2</v>
      </c>
      <c r="Q245" s="51">
        <v>0</v>
      </c>
      <c r="R245" s="51">
        <v>0</v>
      </c>
      <c r="S245" s="51">
        <v>0</v>
      </c>
      <c r="T245" s="51">
        <v>0</v>
      </c>
      <c r="U245" s="51">
        <v>0</v>
      </c>
      <c r="V245" s="51">
        <v>4.4443999999999997E-2</v>
      </c>
      <c r="W245" s="51">
        <v>0</v>
      </c>
      <c r="X245" s="51">
        <v>0</v>
      </c>
      <c r="Y245" s="51">
        <v>0</v>
      </c>
      <c r="Z245" s="51">
        <v>0</v>
      </c>
      <c r="AA245" s="51">
        <v>0</v>
      </c>
    </row>
    <row r="246" spans="7:27" x14ac:dyDescent="0.25">
      <c r="G246" s="18">
        <v>16</v>
      </c>
      <c r="H246" s="51">
        <v>0</v>
      </c>
      <c r="I246" s="51">
        <v>0</v>
      </c>
      <c r="J246" s="51">
        <v>0</v>
      </c>
      <c r="K246" s="51">
        <v>0</v>
      </c>
      <c r="L246" s="51">
        <v>3.4783000000000001E-2</v>
      </c>
      <c r="M246" s="51">
        <v>0</v>
      </c>
      <c r="N246" s="51">
        <v>0</v>
      </c>
      <c r="O246" s="51">
        <v>0</v>
      </c>
      <c r="P246" s="51">
        <v>4.4443999999999997E-2</v>
      </c>
      <c r="Q246" s="51">
        <v>0</v>
      </c>
      <c r="R246" s="51">
        <v>0</v>
      </c>
      <c r="S246" s="51">
        <v>2.8570999999999999E-2</v>
      </c>
      <c r="T246" s="51">
        <v>1.8605E-2</v>
      </c>
      <c r="U246" s="51">
        <v>2.4242E-2</v>
      </c>
      <c r="V246" s="51">
        <v>0</v>
      </c>
      <c r="W246" s="51">
        <v>4.4443999999999997E-2</v>
      </c>
      <c r="X246" s="51">
        <v>0</v>
      </c>
      <c r="Y246" s="51">
        <v>0</v>
      </c>
      <c r="Z246" s="51">
        <v>0</v>
      </c>
      <c r="AA246" s="51">
        <v>0</v>
      </c>
    </row>
    <row r="247" spans="7:27" x14ac:dyDescent="0.25">
      <c r="G247" s="18">
        <v>17</v>
      </c>
      <c r="H247" s="51">
        <v>0</v>
      </c>
      <c r="I247" s="51">
        <v>0</v>
      </c>
      <c r="J247" s="51">
        <v>0</v>
      </c>
      <c r="K247" s="51">
        <v>0</v>
      </c>
      <c r="L247" s="51">
        <v>0</v>
      </c>
      <c r="M247" s="51">
        <v>0</v>
      </c>
      <c r="N247" s="51">
        <v>0</v>
      </c>
      <c r="O247" s="51">
        <v>0</v>
      </c>
      <c r="P247" s="51">
        <v>0</v>
      </c>
      <c r="Q247" s="51">
        <v>0</v>
      </c>
      <c r="R247" s="51">
        <v>0</v>
      </c>
      <c r="S247" s="51">
        <v>0</v>
      </c>
      <c r="T247" s="51">
        <v>1.6667000000000001E-2</v>
      </c>
      <c r="U247" s="51">
        <v>0</v>
      </c>
      <c r="V247" s="51">
        <v>0</v>
      </c>
      <c r="W247" s="51">
        <v>0</v>
      </c>
      <c r="X247" s="51">
        <v>4.4443999999999997E-2</v>
      </c>
      <c r="Y247" s="51">
        <v>0</v>
      </c>
      <c r="Z247" s="51">
        <v>0</v>
      </c>
      <c r="AA247" s="51">
        <v>3.4783000000000001E-2</v>
      </c>
    </row>
    <row r="248" spans="7:27" x14ac:dyDescent="0.25">
      <c r="G248" s="18">
        <v>18</v>
      </c>
      <c r="H248" s="51">
        <v>2.1052999999999999E-2</v>
      </c>
      <c r="I248" s="51">
        <v>9.639E-3</v>
      </c>
      <c r="J248" s="51">
        <v>0</v>
      </c>
      <c r="K248" s="51">
        <v>0</v>
      </c>
      <c r="L248" s="51">
        <v>0</v>
      </c>
      <c r="M248" s="51">
        <v>1.8605E-2</v>
      </c>
      <c r="N248" s="51">
        <v>0</v>
      </c>
      <c r="O248" s="51">
        <v>0</v>
      </c>
      <c r="P248" s="51">
        <v>0</v>
      </c>
      <c r="Q248" s="51">
        <v>0</v>
      </c>
      <c r="R248" s="51">
        <v>0</v>
      </c>
      <c r="S248" s="51">
        <v>0</v>
      </c>
      <c r="T248" s="51">
        <v>0</v>
      </c>
      <c r="U248" s="51">
        <v>0</v>
      </c>
      <c r="V248" s="51">
        <v>0</v>
      </c>
      <c r="W248" s="51">
        <v>0</v>
      </c>
      <c r="X248" s="51">
        <v>0</v>
      </c>
      <c r="Y248" s="51">
        <v>4.4443999999999997E-2</v>
      </c>
      <c r="Z248" s="51">
        <v>1.5094E-2</v>
      </c>
      <c r="AA248" s="51">
        <v>0</v>
      </c>
    </row>
    <row r="249" spans="7:27" x14ac:dyDescent="0.25">
      <c r="G249" s="18">
        <v>19</v>
      </c>
      <c r="H249" s="51">
        <v>0</v>
      </c>
      <c r="I249" s="51">
        <v>0</v>
      </c>
      <c r="J249" s="51">
        <v>0</v>
      </c>
      <c r="K249" s="51">
        <v>1.0959E-2</v>
      </c>
      <c r="L249" s="51">
        <v>0</v>
      </c>
      <c r="M249" s="51">
        <v>0</v>
      </c>
      <c r="N249" s="51">
        <v>0</v>
      </c>
      <c r="O249" s="51">
        <v>0</v>
      </c>
      <c r="P249" s="51">
        <v>0</v>
      </c>
      <c r="Q249" s="51">
        <v>0</v>
      </c>
      <c r="R249" s="51">
        <v>0</v>
      </c>
      <c r="S249" s="51">
        <v>1.5094E-2</v>
      </c>
      <c r="T249" s="51">
        <v>0</v>
      </c>
      <c r="U249" s="51">
        <v>0</v>
      </c>
      <c r="V249" s="51">
        <v>0</v>
      </c>
      <c r="W249" s="51">
        <v>0</v>
      </c>
      <c r="X249" s="51">
        <v>0</v>
      </c>
      <c r="Y249" s="51">
        <v>1.5094E-2</v>
      </c>
      <c r="Z249" s="51">
        <v>4.4443999999999997E-2</v>
      </c>
      <c r="AA249" s="51">
        <v>0</v>
      </c>
    </row>
    <row r="250" spans="7:27" ht="15.75" thickBot="1" x14ac:dyDescent="0.3">
      <c r="G250" s="19">
        <v>20</v>
      </c>
      <c r="H250" s="51">
        <v>0</v>
      </c>
      <c r="I250" s="51">
        <v>1.1764999999999999E-2</v>
      </c>
      <c r="J250" s="51">
        <v>0</v>
      </c>
      <c r="K250" s="51">
        <v>0</v>
      </c>
      <c r="L250" s="51">
        <v>0</v>
      </c>
      <c r="M250" s="51">
        <v>0</v>
      </c>
      <c r="N250" s="51">
        <v>0</v>
      </c>
      <c r="O250" s="51">
        <v>0</v>
      </c>
      <c r="P250" s="51">
        <v>0</v>
      </c>
      <c r="Q250" s="51">
        <v>7.0800000000000004E-3</v>
      </c>
      <c r="R250" s="51">
        <v>0</v>
      </c>
      <c r="S250" s="51">
        <v>0</v>
      </c>
      <c r="T250" s="51">
        <v>0</v>
      </c>
      <c r="U250" s="51">
        <v>0</v>
      </c>
      <c r="V250" s="51">
        <v>0</v>
      </c>
      <c r="W250" s="51">
        <v>0</v>
      </c>
      <c r="X250" s="51">
        <v>3.4783000000000001E-2</v>
      </c>
      <c r="Y250" s="51">
        <v>0</v>
      </c>
      <c r="Z250" s="51">
        <v>0</v>
      </c>
      <c r="AA250" s="51">
        <v>4.4443999999999997E-2</v>
      </c>
    </row>
    <row r="251" spans="7:27" x14ac:dyDescent="0.25">
      <c r="H251" t="s">
        <v>43</v>
      </c>
    </row>
    <row r="253" spans="7:27" ht="15.75" thickBot="1" x14ac:dyDescent="0.3">
      <c r="H253" s="1" t="s">
        <v>49</v>
      </c>
    </row>
    <row r="254" spans="7:27" ht="15.75" thickBot="1" x14ac:dyDescent="0.3">
      <c r="H254" s="16">
        <v>1</v>
      </c>
      <c r="I254" s="20">
        <v>2</v>
      </c>
      <c r="J254" s="21">
        <v>3</v>
      </c>
      <c r="K254" s="21">
        <v>4</v>
      </c>
      <c r="L254" s="21">
        <v>5</v>
      </c>
      <c r="M254" s="21">
        <v>6</v>
      </c>
      <c r="N254" s="21">
        <v>7</v>
      </c>
      <c r="O254" s="21">
        <v>8</v>
      </c>
      <c r="P254" s="21">
        <v>9</v>
      </c>
      <c r="Q254" s="21">
        <v>10</v>
      </c>
      <c r="R254" s="21">
        <v>11</v>
      </c>
      <c r="S254" s="21">
        <v>12</v>
      </c>
      <c r="T254" s="21">
        <v>13</v>
      </c>
      <c r="U254" s="21">
        <v>14</v>
      </c>
      <c r="V254" s="21">
        <v>15</v>
      </c>
      <c r="W254" s="21">
        <v>16</v>
      </c>
      <c r="X254" s="21">
        <v>17</v>
      </c>
      <c r="Y254" s="21">
        <v>18</v>
      </c>
      <c r="Z254" s="21">
        <v>19</v>
      </c>
      <c r="AA254" s="22">
        <v>20</v>
      </c>
    </row>
    <row r="255" spans="7:27" x14ac:dyDescent="0.25">
      <c r="G255" s="23">
        <v>1</v>
      </c>
      <c r="H255" s="51">
        <v>4.4443999999999997E-2</v>
      </c>
      <c r="I255" s="51">
        <v>3.0691E-2</v>
      </c>
      <c r="J255" s="51">
        <v>5.4933999999999997E-2</v>
      </c>
      <c r="K255" s="51">
        <v>6.0836000000000001E-2</v>
      </c>
      <c r="L255" s="51">
        <v>4.7357999999999997E-2</v>
      </c>
      <c r="M255" s="51">
        <v>3.9656999999999998E-2</v>
      </c>
      <c r="N255" s="51">
        <v>6.2233999999999998E-2</v>
      </c>
      <c r="O255" s="51">
        <v>6.6201999999999997E-2</v>
      </c>
      <c r="P255" s="51">
        <v>5.9025000000000001E-2</v>
      </c>
      <c r="Q255" s="51">
        <v>4.9535999999999997E-2</v>
      </c>
      <c r="R255" s="51">
        <v>4.4443999999999997E-2</v>
      </c>
      <c r="S255" s="51">
        <v>3.4783000000000001E-2</v>
      </c>
      <c r="T255" s="51">
        <v>4.5786E-2</v>
      </c>
      <c r="U255" s="51">
        <v>6.2452000000000001E-2</v>
      </c>
      <c r="V255" s="51">
        <v>6.0055999999999998E-2</v>
      </c>
      <c r="W255" s="51">
        <v>6.4390000000000003E-2</v>
      </c>
      <c r="X255" s="51">
        <v>6.2452000000000001E-2</v>
      </c>
      <c r="Y255" s="51">
        <v>2.1052999999999999E-2</v>
      </c>
      <c r="Z255" s="51">
        <v>4.9876999999999998E-2</v>
      </c>
      <c r="AA255" s="51">
        <v>4.2456000000000001E-2</v>
      </c>
    </row>
    <row r="256" spans="7:27" x14ac:dyDescent="0.25">
      <c r="G256" s="17">
        <v>2</v>
      </c>
      <c r="H256" s="51">
        <v>3.0691E-2</v>
      </c>
      <c r="I256" s="51">
        <v>4.4443999999999997E-2</v>
      </c>
      <c r="J256" s="51">
        <v>2.4242E-2</v>
      </c>
      <c r="K256" s="51">
        <v>3.5692000000000002E-2</v>
      </c>
      <c r="L256" s="51">
        <v>1.6667000000000001E-2</v>
      </c>
      <c r="M256" s="51">
        <v>2.8243000000000001E-2</v>
      </c>
      <c r="N256" s="51">
        <v>3.1543000000000002E-2</v>
      </c>
      <c r="O256" s="51">
        <v>3.5511000000000001E-2</v>
      </c>
      <c r="P256" s="51">
        <v>4.5767000000000002E-2</v>
      </c>
      <c r="Q256" s="51">
        <v>1.8844E-2</v>
      </c>
      <c r="R256" s="51">
        <v>3.6146999999999999E-2</v>
      </c>
      <c r="S256" s="51">
        <v>3.9827000000000001E-2</v>
      </c>
      <c r="T256" s="51">
        <v>1.5094E-2</v>
      </c>
      <c r="U256" s="51">
        <v>3.1760999999999998E-2</v>
      </c>
      <c r="V256" s="51">
        <v>2.9364999999999999E-2</v>
      </c>
      <c r="W256" s="51">
        <v>3.3699E-2</v>
      </c>
      <c r="X256" s="51">
        <v>3.1760999999999998E-2</v>
      </c>
      <c r="Y256" s="51">
        <v>9.639E-3</v>
      </c>
      <c r="Z256" s="51">
        <v>2.4733000000000002E-2</v>
      </c>
      <c r="AA256" s="51">
        <v>1.1764999999999999E-2</v>
      </c>
    </row>
    <row r="257" spans="7:27" x14ac:dyDescent="0.25">
      <c r="G257" s="18">
        <v>3</v>
      </c>
      <c r="H257" s="51">
        <v>5.4933999999999997E-2</v>
      </c>
      <c r="I257" s="51">
        <v>2.4242E-2</v>
      </c>
      <c r="J257" s="51">
        <v>4.4443999999999997E-2</v>
      </c>
      <c r="K257" s="51">
        <v>5.9934000000000001E-2</v>
      </c>
      <c r="L257" s="51">
        <v>4.9876999999999998E-2</v>
      </c>
      <c r="M257" s="51">
        <v>5.2485999999999998E-2</v>
      </c>
      <c r="N257" s="51">
        <v>5.5785000000000001E-2</v>
      </c>
      <c r="O257" s="51">
        <v>5.9753000000000001E-2</v>
      </c>
      <c r="P257" s="51">
        <v>7.0010000000000003E-2</v>
      </c>
      <c r="Q257" s="51">
        <v>4.3087E-2</v>
      </c>
      <c r="R257" s="51">
        <v>6.0388999999999998E-2</v>
      </c>
      <c r="S257" s="51">
        <v>6.4070000000000002E-2</v>
      </c>
      <c r="T257" s="51">
        <v>3.9336999999999997E-2</v>
      </c>
      <c r="U257" s="51">
        <v>3.4783000000000001E-2</v>
      </c>
      <c r="V257" s="51">
        <v>6.2575000000000006E-2</v>
      </c>
      <c r="W257" s="51">
        <v>5.7940999999999999E-2</v>
      </c>
      <c r="X257" s="51">
        <v>5.6002999999999997E-2</v>
      </c>
      <c r="Y257" s="51">
        <v>3.3881000000000001E-2</v>
      </c>
      <c r="Z257" s="51">
        <v>4.8974999999999998E-2</v>
      </c>
      <c r="AA257" s="51">
        <v>3.6006999999999997E-2</v>
      </c>
    </row>
    <row r="258" spans="7:27" x14ac:dyDescent="0.25">
      <c r="G258" s="18">
        <v>4</v>
      </c>
      <c r="H258" s="51">
        <v>6.0836000000000001E-2</v>
      </c>
      <c r="I258" s="51">
        <v>3.5692000000000002E-2</v>
      </c>
      <c r="J258" s="51">
        <v>5.9934000000000001E-2</v>
      </c>
      <c r="K258" s="51">
        <v>4.4443999999999997E-2</v>
      </c>
      <c r="L258" s="51">
        <v>5.2358000000000002E-2</v>
      </c>
      <c r="M258" s="51">
        <v>4.4658000000000003E-2</v>
      </c>
      <c r="N258" s="51">
        <v>6.7235000000000003E-2</v>
      </c>
      <c r="O258" s="51">
        <v>6.0552000000000002E-2</v>
      </c>
      <c r="P258" s="51">
        <v>5.0296E-2</v>
      </c>
      <c r="Q258" s="51">
        <v>5.4536000000000001E-2</v>
      </c>
      <c r="R258" s="51">
        <v>4.4443999999999997E-2</v>
      </c>
      <c r="S258" s="51">
        <v>2.6053E-2</v>
      </c>
      <c r="T258" s="51">
        <v>5.0785999999999998E-2</v>
      </c>
      <c r="U258" s="51">
        <v>6.7452999999999999E-2</v>
      </c>
      <c r="V258" s="51">
        <v>6.5057000000000004E-2</v>
      </c>
      <c r="W258" s="51">
        <v>5.4625E-2</v>
      </c>
      <c r="X258" s="51">
        <v>6.7452999999999999E-2</v>
      </c>
      <c r="Y258" s="51">
        <v>2.6053E-2</v>
      </c>
      <c r="Z258" s="51">
        <v>1.0959E-2</v>
      </c>
      <c r="AA258" s="51">
        <v>4.7456999999999999E-2</v>
      </c>
    </row>
    <row r="259" spans="7:27" x14ac:dyDescent="0.25">
      <c r="G259" s="18">
        <v>5</v>
      </c>
      <c r="H259" s="51">
        <v>4.7357999999999997E-2</v>
      </c>
      <c r="I259" s="51">
        <v>1.6667000000000001E-2</v>
      </c>
      <c r="J259" s="51">
        <v>4.9876999999999998E-2</v>
      </c>
      <c r="K259" s="51">
        <v>5.2358000000000002E-2</v>
      </c>
      <c r="L259" s="51">
        <v>4.4443999999999997E-2</v>
      </c>
      <c r="M259" s="51">
        <v>4.4909999999999999E-2</v>
      </c>
      <c r="N259" s="51">
        <v>4.8209000000000002E-2</v>
      </c>
      <c r="O259" s="51">
        <v>3.4783000000000001E-2</v>
      </c>
      <c r="P259" s="51">
        <v>4.5039000000000003E-2</v>
      </c>
      <c r="Q259" s="51">
        <v>3.5511000000000001E-2</v>
      </c>
      <c r="R259" s="51">
        <v>5.2814E-2</v>
      </c>
      <c r="S259" s="51">
        <v>5.6494000000000003E-2</v>
      </c>
      <c r="T259" s="51">
        <v>3.1760999999999998E-2</v>
      </c>
      <c r="U259" s="51">
        <v>1.5094E-2</v>
      </c>
      <c r="V259" s="51">
        <v>1.2697999999999999E-2</v>
      </c>
      <c r="W259" s="51">
        <v>3.4783000000000001E-2</v>
      </c>
      <c r="X259" s="51">
        <v>4.8427999999999999E-2</v>
      </c>
      <c r="Y259" s="51">
        <v>2.6304999999999999E-2</v>
      </c>
      <c r="Z259" s="51">
        <v>4.1399999999999999E-2</v>
      </c>
      <c r="AA259" s="51">
        <v>2.8431000000000001E-2</v>
      </c>
    </row>
    <row r="260" spans="7:27" x14ac:dyDescent="0.25">
      <c r="G260" s="18">
        <v>6</v>
      </c>
      <c r="H260" s="51">
        <v>3.9656999999999998E-2</v>
      </c>
      <c r="I260" s="51">
        <v>2.8243000000000001E-2</v>
      </c>
      <c r="J260" s="51">
        <v>5.2485999999999998E-2</v>
      </c>
      <c r="K260" s="51">
        <v>4.4658000000000003E-2</v>
      </c>
      <c r="L260" s="51">
        <v>4.4909999999999999E-2</v>
      </c>
      <c r="M260" s="51">
        <v>4.4443999999999997E-2</v>
      </c>
      <c r="N260" s="51">
        <v>5.9785999999999999E-2</v>
      </c>
      <c r="O260" s="51">
        <v>6.3754000000000005E-2</v>
      </c>
      <c r="P260" s="51">
        <v>7.4010999999999993E-2</v>
      </c>
      <c r="Q260" s="51">
        <v>4.7087999999999998E-2</v>
      </c>
      <c r="R260" s="51">
        <v>6.4390000000000003E-2</v>
      </c>
      <c r="S260" s="51">
        <v>4.8793000000000003E-2</v>
      </c>
      <c r="T260" s="51">
        <v>4.3338000000000002E-2</v>
      </c>
      <c r="U260" s="51">
        <v>6.0004000000000002E-2</v>
      </c>
      <c r="V260" s="51">
        <v>5.7607999999999999E-2</v>
      </c>
      <c r="W260" s="51">
        <v>6.1941999999999997E-2</v>
      </c>
      <c r="X260" s="51">
        <v>6.0004000000000002E-2</v>
      </c>
      <c r="Y260" s="51">
        <v>1.8605E-2</v>
      </c>
      <c r="Z260" s="51">
        <v>3.3699E-2</v>
      </c>
      <c r="AA260" s="51">
        <v>4.0008000000000002E-2</v>
      </c>
    </row>
    <row r="261" spans="7:27" x14ac:dyDescent="0.25">
      <c r="G261" s="18">
        <v>7</v>
      </c>
      <c r="H261" s="51">
        <v>6.2233999999999998E-2</v>
      </c>
      <c r="I261" s="51">
        <v>3.1543000000000002E-2</v>
      </c>
      <c r="J261" s="51">
        <v>5.5785000000000001E-2</v>
      </c>
      <c r="K261" s="51">
        <v>6.7235000000000003E-2</v>
      </c>
      <c r="L261" s="51">
        <v>4.8209000000000002E-2</v>
      </c>
      <c r="M261" s="51">
        <v>5.9785999999999999E-2</v>
      </c>
      <c r="N261" s="51">
        <v>4.4443999999999997E-2</v>
      </c>
      <c r="O261" s="51">
        <v>2.9364999999999999E-2</v>
      </c>
      <c r="P261" s="51">
        <v>3.9621000000000003E-2</v>
      </c>
      <c r="Q261" s="51">
        <v>1.2697999999999999E-2</v>
      </c>
      <c r="R261" s="51">
        <v>6.769E-2</v>
      </c>
      <c r="S261" s="51">
        <v>7.1370000000000003E-2</v>
      </c>
      <c r="T261" s="51">
        <v>4.6636999999999998E-2</v>
      </c>
      <c r="U261" s="51">
        <v>6.3303999999999999E-2</v>
      </c>
      <c r="V261" s="51">
        <v>6.0907999999999997E-2</v>
      </c>
      <c r="W261" s="51">
        <v>6.5241999999999994E-2</v>
      </c>
      <c r="X261" s="51">
        <v>5.4560999999999998E-2</v>
      </c>
      <c r="Y261" s="51">
        <v>4.1181000000000002E-2</v>
      </c>
      <c r="Z261" s="51">
        <v>5.6276E-2</v>
      </c>
      <c r="AA261" s="51">
        <v>1.9778E-2</v>
      </c>
    </row>
    <row r="262" spans="7:27" x14ac:dyDescent="0.25">
      <c r="G262" s="18">
        <v>8</v>
      </c>
      <c r="H262" s="51">
        <v>6.6201999999999997E-2</v>
      </c>
      <c r="I262" s="51">
        <v>3.5511000000000001E-2</v>
      </c>
      <c r="J262" s="51">
        <v>5.9753000000000001E-2</v>
      </c>
      <c r="K262" s="51">
        <v>6.0552000000000002E-2</v>
      </c>
      <c r="L262" s="51">
        <v>3.4783000000000001E-2</v>
      </c>
      <c r="M262" s="51">
        <v>6.3754000000000005E-2</v>
      </c>
      <c r="N262" s="51">
        <v>2.9364999999999999E-2</v>
      </c>
      <c r="O262" s="51">
        <v>4.4443999999999997E-2</v>
      </c>
      <c r="P262" s="51">
        <v>1.0255999999999999E-2</v>
      </c>
      <c r="Q262" s="51">
        <v>1.6667000000000001E-2</v>
      </c>
      <c r="R262" s="51">
        <v>6.3070000000000001E-2</v>
      </c>
      <c r="S262" s="51">
        <v>3.4499000000000002E-2</v>
      </c>
      <c r="T262" s="51">
        <v>5.0604999999999997E-2</v>
      </c>
      <c r="U262" s="51">
        <v>4.9876999999999998E-2</v>
      </c>
      <c r="V262" s="51">
        <v>4.7481000000000002E-2</v>
      </c>
      <c r="W262" s="51">
        <v>6.9565000000000002E-2</v>
      </c>
      <c r="X262" s="51">
        <v>5.8528999999999998E-2</v>
      </c>
      <c r="Y262" s="51">
        <v>4.5150000000000003E-2</v>
      </c>
      <c r="Z262" s="51">
        <v>4.9592999999999998E-2</v>
      </c>
      <c r="AA262" s="51">
        <v>2.3746E-2</v>
      </c>
    </row>
    <row r="263" spans="7:27" x14ac:dyDescent="0.25">
      <c r="G263" s="18">
        <v>9</v>
      </c>
      <c r="H263" s="51">
        <v>5.9025000000000001E-2</v>
      </c>
      <c r="I263" s="51">
        <v>4.5767000000000002E-2</v>
      </c>
      <c r="J263" s="51">
        <v>7.0010000000000003E-2</v>
      </c>
      <c r="K263" s="51">
        <v>5.0296E-2</v>
      </c>
      <c r="L263" s="51">
        <v>4.5039000000000003E-2</v>
      </c>
      <c r="M263" s="51">
        <v>7.4010999999999993E-2</v>
      </c>
      <c r="N263" s="51">
        <v>3.9621000000000003E-2</v>
      </c>
      <c r="O263" s="51">
        <v>1.0255999999999999E-2</v>
      </c>
      <c r="P263" s="51">
        <v>4.4443999999999997E-2</v>
      </c>
      <c r="Q263" s="51">
        <v>2.6922999999999999E-2</v>
      </c>
      <c r="R263" s="51">
        <v>5.2814E-2</v>
      </c>
      <c r="S263" s="51">
        <v>2.4242E-2</v>
      </c>
      <c r="T263" s="51">
        <v>6.0861999999999999E-2</v>
      </c>
      <c r="U263" s="51">
        <v>6.0132999999999999E-2</v>
      </c>
      <c r="V263" s="51">
        <v>4.4443999999999997E-2</v>
      </c>
      <c r="W263" s="51">
        <v>4.4443999999999997E-2</v>
      </c>
      <c r="X263" s="51">
        <v>6.8784999999999999E-2</v>
      </c>
      <c r="Y263" s="51">
        <v>5.5405999999999997E-2</v>
      </c>
      <c r="Z263" s="51">
        <v>3.9336999999999997E-2</v>
      </c>
      <c r="AA263" s="51">
        <v>3.4002999999999999E-2</v>
      </c>
    </row>
    <row r="264" spans="7:27" x14ac:dyDescent="0.25">
      <c r="G264" s="18">
        <v>10</v>
      </c>
      <c r="H264" s="51">
        <v>4.9535999999999997E-2</v>
      </c>
      <c r="I264" s="51">
        <v>1.8844E-2</v>
      </c>
      <c r="J264" s="51">
        <v>4.3087E-2</v>
      </c>
      <c r="K264" s="51">
        <v>5.4536000000000001E-2</v>
      </c>
      <c r="L264" s="51">
        <v>3.5511000000000001E-2</v>
      </c>
      <c r="M264" s="51">
        <v>4.7087999999999998E-2</v>
      </c>
      <c r="N264" s="51">
        <v>1.2697999999999999E-2</v>
      </c>
      <c r="O264" s="51">
        <v>1.6667000000000001E-2</v>
      </c>
      <c r="P264" s="51">
        <v>2.6922999999999999E-2</v>
      </c>
      <c r="Q264" s="51">
        <v>4.4443999999999997E-2</v>
      </c>
      <c r="R264" s="51">
        <v>5.4990999999999998E-2</v>
      </c>
      <c r="S264" s="51">
        <v>5.8672000000000002E-2</v>
      </c>
      <c r="T264" s="51">
        <v>3.3938999999999997E-2</v>
      </c>
      <c r="U264" s="51">
        <v>5.0604999999999997E-2</v>
      </c>
      <c r="V264" s="51">
        <v>4.8209000000000002E-2</v>
      </c>
      <c r="W264" s="51">
        <v>5.2542999999999999E-2</v>
      </c>
      <c r="X264" s="51">
        <v>4.1862000000000003E-2</v>
      </c>
      <c r="Y264" s="51">
        <v>2.8483000000000001E-2</v>
      </c>
      <c r="Z264" s="51">
        <v>4.3576999999999998E-2</v>
      </c>
      <c r="AA264" s="51">
        <v>7.0800000000000004E-3</v>
      </c>
    </row>
    <row r="265" spans="7:27" x14ac:dyDescent="0.25">
      <c r="G265" s="18">
        <v>11</v>
      </c>
      <c r="H265" s="51">
        <v>4.4443999999999997E-2</v>
      </c>
      <c r="I265" s="51">
        <v>3.6146999999999999E-2</v>
      </c>
      <c r="J265" s="51">
        <v>6.0388999999999998E-2</v>
      </c>
      <c r="K265" s="51">
        <v>4.4443999999999997E-2</v>
      </c>
      <c r="L265" s="51">
        <v>5.2814E-2</v>
      </c>
      <c r="M265" s="51">
        <v>6.4390000000000003E-2</v>
      </c>
      <c r="N265" s="51">
        <v>6.769E-2</v>
      </c>
      <c r="O265" s="51">
        <v>6.3070000000000001E-2</v>
      </c>
      <c r="P265" s="51">
        <v>5.2814E-2</v>
      </c>
      <c r="Q265" s="51">
        <v>5.4990999999999998E-2</v>
      </c>
      <c r="R265" s="51">
        <v>4.4443999999999997E-2</v>
      </c>
      <c r="S265" s="51">
        <v>2.8570999999999999E-2</v>
      </c>
      <c r="T265" s="51">
        <v>2.1052999999999999E-2</v>
      </c>
      <c r="U265" s="51">
        <v>6.3899999999999998E-2</v>
      </c>
      <c r="V265" s="51">
        <v>6.5512000000000001E-2</v>
      </c>
      <c r="W265" s="51">
        <v>3.9656999999999998E-2</v>
      </c>
      <c r="X265" s="51">
        <v>3.7719000000000003E-2</v>
      </c>
      <c r="Y265" s="51">
        <v>4.5786E-2</v>
      </c>
      <c r="Z265" s="51">
        <v>4.3666000000000003E-2</v>
      </c>
      <c r="AA265" s="51">
        <v>4.7912000000000003E-2</v>
      </c>
    </row>
    <row r="266" spans="7:27" x14ac:dyDescent="0.25">
      <c r="G266" s="18">
        <v>12</v>
      </c>
      <c r="H266" s="51">
        <v>3.4783000000000001E-2</v>
      </c>
      <c r="I266" s="51">
        <v>3.9827000000000001E-2</v>
      </c>
      <c r="J266" s="51">
        <v>6.4070000000000002E-2</v>
      </c>
      <c r="K266" s="51">
        <v>2.6053E-2</v>
      </c>
      <c r="L266" s="51">
        <v>5.6494000000000003E-2</v>
      </c>
      <c r="M266" s="51">
        <v>4.8793000000000003E-2</v>
      </c>
      <c r="N266" s="51">
        <v>7.1370000000000003E-2</v>
      </c>
      <c r="O266" s="51">
        <v>3.4499000000000002E-2</v>
      </c>
      <c r="P266" s="51">
        <v>2.4242E-2</v>
      </c>
      <c r="Q266" s="51">
        <v>5.8672000000000002E-2</v>
      </c>
      <c r="R266" s="51">
        <v>2.8570999999999999E-2</v>
      </c>
      <c r="S266" s="51">
        <v>4.4443999999999997E-2</v>
      </c>
      <c r="T266" s="51">
        <v>4.7176000000000003E-2</v>
      </c>
      <c r="U266" s="51">
        <v>5.2814E-2</v>
      </c>
      <c r="V266" s="51">
        <v>6.9192000000000004E-2</v>
      </c>
      <c r="W266" s="51">
        <v>2.8570999999999999E-2</v>
      </c>
      <c r="X266" s="51">
        <v>6.3842999999999997E-2</v>
      </c>
      <c r="Y266" s="51">
        <v>3.0189000000000001E-2</v>
      </c>
      <c r="Z266" s="51">
        <v>1.5094E-2</v>
      </c>
      <c r="AA266" s="51">
        <v>5.1591999999999999E-2</v>
      </c>
    </row>
    <row r="267" spans="7:27" x14ac:dyDescent="0.25">
      <c r="G267" s="18">
        <v>13</v>
      </c>
      <c r="H267" s="51">
        <v>4.5786E-2</v>
      </c>
      <c r="I267" s="51">
        <v>1.5094E-2</v>
      </c>
      <c r="J267" s="51">
        <v>3.9336999999999997E-2</v>
      </c>
      <c r="K267" s="51">
        <v>5.0785999999999998E-2</v>
      </c>
      <c r="L267" s="51">
        <v>3.1760999999999998E-2</v>
      </c>
      <c r="M267" s="51">
        <v>4.3338000000000002E-2</v>
      </c>
      <c r="N267" s="51">
        <v>4.6636999999999998E-2</v>
      </c>
      <c r="O267" s="51">
        <v>5.0604999999999997E-2</v>
      </c>
      <c r="P267" s="51">
        <v>6.0861999999999999E-2</v>
      </c>
      <c r="Q267" s="51">
        <v>3.3938999999999997E-2</v>
      </c>
      <c r="R267" s="51">
        <v>2.1052999999999999E-2</v>
      </c>
      <c r="S267" s="51">
        <v>4.7176000000000003E-2</v>
      </c>
      <c r="T267" s="51">
        <v>4.4443999999999997E-2</v>
      </c>
      <c r="U267" s="51">
        <v>4.2847000000000003E-2</v>
      </c>
      <c r="V267" s="51">
        <v>4.4458999999999999E-2</v>
      </c>
      <c r="W267" s="51">
        <v>1.8605E-2</v>
      </c>
      <c r="X267" s="51">
        <v>1.6667000000000001E-2</v>
      </c>
      <c r="Y267" s="51">
        <v>2.4733000000000002E-2</v>
      </c>
      <c r="Z267" s="51">
        <v>3.9827000000000001E-2</v>
      </c>
      <c r="AA267" s="51">
        <v>2.6859000000000001E-2</v>
      </c>
    </row>
    <row r="268" spans="7:27" x14ac:dyDescent="0.25">
      <c r="G268" s="18">
        <v>14</v>
      </c>
      <c r="H268" s="51">
        <v>6.2452000000000001E-2</v>
      </c>
      <c r="I268" s="51">
        <v>3.1760999999999998E-2</v>
      </c>
      <c r="J268" s="51">
        <v>3.4783000000000001E-2</v>
      </c>
      <c r="K268" s="51">
        <v>6.7452999999999999E-2</v>
      </c>
      <c r="L268" s="51">
        <v>1.5094E-2</v>
      </c>
      <c r="M268" s="51">
        <v>6.0004000000000002E-2</v>
      </c>
      <c r="N268" s="51">
        <v>6.3303999999999999E-2</v>
      </c>
      <c r="O268" s="51">
        <v>4.9876999999999998E-2</v>
      </c>
      <c r="P268" s="51">
        <v>6.0132999999999999E-2</v>
      </c>
      <c r="Q268" s="51">
        <v>5.0604999999999997E-2</v>
      </c>
      <c r="R268" s="51">
        <v>6.3899999999999998E-2</v>
      </c>
      <c r="S268" s="51">
        <v>5.2814E-2</v>
      </c>
      <c r="T268" s="51">
        <v>4.2847000000000003E-2</v>
      </c>
      <c r="U268" s="51">
        <v>4.4443999999999997E-2</v>
      </c>
      <c r="V268" s="51">
        <v>2.7793000000000002E-2</v>
      </c>
      <c r="W268" s="51">
        <v>2.4242E-2</v>
      </c>
      <c r="X268" s="51">
        <v>5.9513999999999997E-2</v>
      </c>
      <c r="Y268" s="51">
        <v>4.1399999999999999E-2</v>
      </c>
      <c r="Z268" s="51">
        <v>5.6494000000000003E-2</v>
      </c>
      <c r="AA268" s="51">
        <v>4.3526000000000002E-2</v>
      </c>
    </row>
    <row r="269" spans="7:27" x14ac:dyDescent="0.25">
      <c r="G269" s="18">
        <v>15</v>
      </c>
      <c r="H269" s="51">
        <v>6.0055999999999998E-2</v>
      </c>
      <c r="I269" s="51">
        <v>2.9364999999999999E-2</v>
      </c>
      <c r="J269" s="51">
        <v>6.2575000000000006E-2</v>
      </c>
      <c r="K269" s="51">
        <v>6.5057000000000004E-2</v>
      </c>
      <c r="L269" s="51">
        <v>1.2697999999999999E-2</v>
      </c>
      <c r="M269" s="51">
        <v>5.7607999999999999E-2</v>
      </c>
      <c r="N269" s="51">
        <v>6.0907999999999997E-2</v>
      </c>
      <c r="O269" s="51">
        <v>4.7481000000000002E-2</v>
      </c>
      <c r="P269" s="51">
        <v>4.4443999999999997E-2</v>
      </c>
      <c r="Q269" s="51">
        <v>4.8209000000000002E-2</v>
      </c>
      <c r="R269" s="51">
        <v>6.5512000000000001E-2</v>
      </c>
      <c r="S269" s="51">
        <v>6.9192000000000004E-2</v>
      </c>
      <c r="T269" s="51">
        <v>4.4458999999999999E-2</v>
      </c>
      <c r="U269" s="51">
        <v>2.7793000000000002E-2</v>
      </c>
      <c r="V269" s="51">
        <v>4.4443999999999997E-2</v>
      </c>
      <c r="W269" s="51">
        <v>4.7481000000000002E-2</v>
      </c>
      <c r="X269" s="51">
        <v>6.1126E-2</v>
      </c>
      <c r="Y269" s="51">
        <v>3.9003999999999997E-2</v>
      </c>
      <c r="Z269" s="51">
        <v>5.4098E-2</v>
      </c>
      <c r="AA269" s="51">
        <v>4.113E-2</v>
      </c>
    </row>
    <row r="270" spans="7:27" x14ac:dyDescent="0.25">
      <c r="G270" s="18">
        <v>16</v>
      </c>
      <c r="H270" s="51">
        <v>6.4390000000000003E-2</v>
      </c>
      <c r="I270" s="51">
        <v>3.3699E-2</v>
      </c>
      <c r="J270" s="51">
        <v>5.7940999999999999E-2</v>
      </c>
      <c r="K270" s="51">
        <v>5.4625E-2</v>
      </c>
      <c r="L270" s="51">
        <v>3.4783000000000001E-2</v>
      </c>
      <c r="M270" s="51">
        <v>6.1941999999999997E-2</v>
      </c>
      <c r="N270" s="51">
        <v>6.5241999999999994E-2</v>
      </c>
      <c r="O270" s="51">
        <v>6.9565000000000002E-2</v>
      </c>
      <c r="P270" s="51">
        <v>4.4443999999999997E-2</v>
      </c>
      <c r="Q270" s="51">
        <v>5.2542999999999999E-2</v>
      </c>
      <c r="R270" s="51">
        <v>3.9656999999999998E-2</v>
      </c>
      <c r="S270" s="51">
        <v>2.8570999999999999E-2</v>
      </c>
      <c r="T270" s="51">
        <v>1.8605E-2</v>
      </c>
      <c r="U270" s="51">
        <v>2.4242E-2</v>
      </c>
      <c r="V270" s="51">
        <v>4.7481000000000002E-2</v>
      </c>
      <c r="W270" s="51">
        <v>4.4443999999999997E-2</v>
      </c>
      <c r="X270" s="51">
        <v>3.5270999999999997E-2</v>
      </c>
      <c r="Y270" s="51">
        <v>4.3338000000000002E-2</v>
      </c>
      <c r="Z270" s="51">
        <v>4.3666000000000003E-2</v>
      </c>
      <c r="AA270" s="51">
        <v>4.5463999999999997E-2</v>
      </c>
    </row>
    <row r="271" spans="7:27" x14ac:dyDescent="0.25">
      <c r="G271" s="18">
        <v>17</v>
      </c>
      <c r="H271" s="51">
        <v>6.2452000000000001E-2</v>
      </c>
      <c r="I271" s="51">
        <v>3.1760999999999998E-2</v>
      </c>
      <c r="J271" s="51">
        <v>5.6002999999999997E-2</v>
      </c>
      <c r="K271" s="51">
        <v>6.7452999999999999E-2</v>
      </c>
      <c r="L271" s="51">
        <v>4.8427999999999999E-2</v>
      </c>
      <c r="M271" s="51">
        <v>6.0004000000000002E-2</v>
      </c>
      <c r="N271" s="51">
        <v>5.4560999999999998E-2</v>
      </c>
      <c r="O271" s="51">
        <v>5.8528999999999998E-2</v>
      </c>
      <c r="P271" s="51">
        <v>6.8784999999999999E-2</v>
      </c>
      <c r="Q271" s="51">
        <v>4.1862000000000003E-2</v>
      </c>
      <c r="R271" s="51">
        <v>3.7719000000000003E-2</v>
      </c>
      <c r="S271" s="51">
        <v>6.3842999999999997E-2</v>
      </c>
      <c r="T271" s="51">
        <v>1.6667000000000001E-2</v>
      </c>
      <c r="U271" s="51">
        <v>5.9513999999999997E-2</v>
      </c>
      <c r="V271" s="51">
        <v>6.1126E-2</v>
      </c>
      <c r="W271" s="51">
        <v>3.5270999999999997E-2</v>
      </c>
      <c r="X271" s="51">
        <v>4.4443999999999997E-2</v>
      </c>
      <c r="Y271" s="51">
        <v>4.1399999999999999E-2</v>
      </c>
      <c r="Z271" s="51">
        <v>5.6494000000000003E-2</v>
      </c>
      <c r="AA271" s="51">
        <v>3.4783000000000001E-2</v>
      </c>
    </row>
    <row r="272" spans="7:27" x14ac:dyDescent="0.25">
      <c r="G272" s="18">
        <v>18</v>
      </c>
      <c r="H272" s="51">
        <v>2.1052999999999999E-2</v>
      </c>
      <c r="I272" s="51">
        <v>9.639E-3</v>
      </c>
      <c r="J272" s="51">
        <v>3.3881000000000001E-2</v>
      </c>
      <c r="K272" s="51">
        <v>2.6053E-2</v>
      </c>
      <c r="L272" s="51">
        <v>2.6304999999999999E-2</v>
      </c>
      <c r="M272" s="51">
        <v>1.8605E-2</v>
      </c>
      <c r="N272" s="51">
        <v>4.1181000000000002E-2</v>
      </c>
      <c r="O272" s="51">
        <v>4.5150000000000003E-2</v>
      </c>
      <c r="P272" s="51">
        <v>5.5405999999999997E-2</v>
      </c>
      <c r="Q272" s="51">
        <v>2.8483000000000001E-2</v>
      </c>
      <c r="R272" s="51">
        <v>4.5786E-2</v>
      </c>
      <c r="S272" s="51">
        <v>3.0189000000000001E-2</v>
      </c>
      <c r="T272" s="51">
        <v>2.4733000000000002E-2</v>
      </c>
      <c r="U272" s="51">
        <v>4.1399999999999999E-2</v>
      </c>
      <c r="V272" s="51">
        <v>3.9003999999999997E-2</v>
      </c>
      <c r="W272" s="51">
        <v>4.3338000000000002E-2</v>
      </c>
      <c r="X272" s="51">
        <v>4.1399999999999999E-2</v>
      </c>
      <c r="Y272" s="51">
        <v>4.4443999999999997E-2</v>
      </c>
      <c r="Z272" s="51">
        <v>1.5094E-2</v>
      </c>
      <c r="AA272" s="51">
        <v>2.1402999999999998E-2</v>
      </c>
    </row>
    <row r="273" spans="7:52" x14ac:dyDescent="0.25">
      <c r="G273" s="18">
        <v>19</v>
      </c>
      <c r="H273" s="51">
        <v>4.9876999999999998E-2</v>
      </c>
      <c r="I273" s="51">
        <v>2.4733000000000002E-2</v>
      </c>
      <c r="J273" s="51">
        <v>4.8974999999999998E-2</v>
      </c>
      <c r="K273" s="51">
        <v>1.0959E-2</v>
      </c>
      <c r="L273" s="51">
        <v>4.1399999999999999E-2</v>
      </c>
      <c r="M273" s="51">
        <v>3.3699E-2</v>
      </c>
      <c r="N273" s="51">
        <v>5.6276E-2</v>
      </c>
      <c r="O273" s="51">
        <v>4.9592999999999998E-2</v>
      </c>
      <c r="P273" s="51">
        <v>3.9336999999999997E-2</v>
      </c>
      <c r="Q273" s="51">
        <v>4.3576999999999998E-2</v>
      </c>
      <c r="R273" s="51">
        <v>4.3666000000000003E-2</v>
      </c>
      <c r="S273" s="51">
        <v>1.5094E-2</v>
      </c>
      <c r="T273" s="51">
        <v>3.9827000000000001E-2</v>
      </c>
      <c r="U273" s="51">
        <v>5.6494000000000003E-2</v>
      </c>
      <c r="V273" s="51">
        <v>5.4098E-2</v>
      </c>
      <c r="W273" s="51">
        <v>4.3666000000000003E-2</v>
      </c>
      <c r="X273" s="51">
        <v>5.6494000000000003E-2</v>
      </c>
      <c r="Y273" s="51">
        <v>1.5094E-2</v>
      </c>
      <c r="Z273" s="51">
        <v>4.4443999999999997E-2</v>
      </c>
      <c r="AA273" s="51">
        <v>3.6498000000000003E-2</v>
      </c>
    </row>
    <row r="274" spans="7:52" ht="15.75" thickBot="1" x14ac:dyDescent="0.3">
      <c r="G274" s="19">
        <v>20</v>
      </c>
      <c r="H274" s="51">
        <v>4.2456000000000001E-2</v>
      </c>
      <c r="I274" s="51">
        <v>1.1764999999999999E-2</v>
      </c>
      <c r="J274" s="51">
        <v>3.6006999999999997E-2</v>
      </c>
      <c r="K274" s="51">
        <v>4.7456999999999999E-2</v>
      </c>
      <c r="L274" s="51">
        <v>2.8431000000000001E-2</v>
      </c>
      <c r="M274" s="51">
        <v>4.0008000000000002E-2</v>
      </c>
      <c r="N274" s="51">
        <v>1.9778E-2</v>
      </c>
      <c r="O274" s="51">
        <v>2.3746E-2</v>
      </c>
      <c r="P274" s="51">
        <v>3.4002999999999999E-2</v>
      </c>
      <c r="Q274" s="51">
        <v>7.0800000000000004E-3</v>
      </c>
      <c r="R274" s="51">
        <v>4.7912000000000003E-2</v>
      </c>
      <c r="S274" s="51">
        <v>5.1591999999999999E-2</v>
      </c>
      <c r="T274" s="51">
        <v>2.6859000000000001E-2</v>
      </c>
      <c r="U274" s="51">
        <v>4.3526000000000002E-2</v>
      </c>
      <c r="V274" s="51">
        <v>4.113E-2</v>
      </c>
      <c r="W274" s="51">
        <v>4.5463999999999997E-2</v>
      </c>
      <c r="X274" s="51">
        <v>3.4783000000000001E-2</v>
      </c>
      <c r="Y274" s="51">
        <v>2.1402999999999998E-2</v>
      </c>
      <c r="Z274" s="51">
        <v>3.6498000000000003E-2</v>
      </c>
      <c r="AA274" s="51">
        <v>4.4443999999999997E-2</v>
      </c>
    </row>
    <row r="275" spans="7:52" x14ac:dyDescent="0.25">
      <c r="H275" t="s">
        <v>44</v>
      </c>
    </row>
    <row r="277" spans="7:52" ht="15.75" thickBot="1" x14ac:dyDescent="0.3">
      <c r="H277" s="1" t="s">
        <v>50</v>
      </c>
    </row>
    <row r="278" spans="7:52" ht="15.75" thickBot="1" x14ac:dyDescent="0.3">
      <c r="H278" s="16">
        <v>1</v>
      </c>
      <c r="I278" s="20">
        <v>2</v>
      </c>
      <c r="J278" s="21">
        <v>3</v>
      </c>
      <c r="K278" s="21">
        <v>4</v>
      </c>
      <c r="L278" s="21">
        <v>5</v>
      </c>
      <c r="M278" s="21">
        <v>6</v>
      </c>
      <c r="N278" s="21">
        <v>7</v>
      </c>
      <c r="O278" s="21">
        <v>8</v>
      </c>
      <c r="P278" s="21">
        <v>9</v>
      </c>
      <c r="Q278" s="21">
        <v>10</v>
      </c>
      <c r="R278" s="21">
        <v>11</v>
      </c>
      <c r="S278" s="21">
        <v>12</v>
      </c>
      <c r="T278" s="21">
        <v>13</v>
      </c>
      <c r="U278" s="21">
        <v>14</v>
      </c>
      <c r="V278" s="21">
        <v>15</v>
      </c>
      <c r="W278" s="21">
        <v>16</v>
      </c>
      <c r="X278" s="21">
        <v>17</v>
      </c>
      <c r="Y278" s="21">
        <v>18</v>
      </c>
      <c r="Z278" s="21">
        <v>19</v>
      </c>
      <c r="AA278" s="22">
        <v>20</v>
      </c>
    </row>
    <row r="279" spans="7:52" x14ac:dyDescent="0.25">
      <c r="G279" s="23">
        <v>1</v>
      </c>
      <c r="H279" s="51">
        <v>0.10814</v>
      </c>
      <c r="I279" s="51">
        <v>0</v>
      </c>
      <c r="J279" s="51">
        <v>0</v>
      </c>
      <c r="K279" s="51">
        <v>0</v>
      </c>
      <c r="L279" s="51">
        <v>0</v>
      </c>
      <c r="M279" s="51">
        <v>0</v>
      </c>
      <c r="N279" s="51">
        <v>0</v>
      </c>
      <c r="O279" s="51">
        <v>0</v>
      </c>
      <c r="P279" s="51">
        <v>0</v>
      </c>
      <c r="Q279" s="51">
        <v>0</v>
      </c>
      <c r="R279" s="51">
        <v>0.10814</v>
      </c>
      <c r="S279" s="51">
        <v>0.108038</v>
      </c>
      <c r="T279" s="51">
        <v>0</v>
      </c>
      <c r="U279" s="51">
        <v>0</v>
      </c>
      <c r="V279" s="51">
        <v>0</v>
      </c>
      <c r="W279" s="51">
        <v>0</v>
      </c>
      <c r="X279" s="51">
        <v>0</v>
      </c>
      <c r="Y279" s="51">
        <v>0.107973</v>
      </c>
      <c r="Z279" s="51">
        <v>0</v>
      </c>
      <c r="AA279" s="51">
        <v>0</v>
      </c>
      <c r="AG279">
        <v>30053200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2870800</v>
      </c>
      <c r="AR279">
        <v>5030800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15524000</v>
      </c>
      <c r="AY279">
        <v>0</v>
      </c>
      <c r="AZ279">
        <v>0</v>
      </c>
    </row>
    <row r="280" spans="7:52" x14ac:dyDescent="0.25">
      <c r="G280" s="17">
        <v>2</v>
      </c>
      <c r="H280" s="51">
        <v>0</v>
      </c>
      <c r="I280" s="51">
        <v>0.10814</v>
      </c>
      <c r="J280" s="51">
        <v>0.10799499999999999</v>
      </c>
      <c r="K280" s="51">
        <v>0</v>
      </c>
      <c r="L280" s="51">
        <v>0.10817300000000001</v>
      </c>
      <c r="M280" s="51">
        <v>0</v>
      </c>
      <c r="N280" s="51">
        <v>0</v>
      </c>
      <c r="O280" s="51">
        <v>0</v>
      </c>
      <c r="P280" s="51">
        <v>0</v>
      </c>
      <c r="Q280" s="51">
        <v>0</v>
      </c>
      <c r="R280" s="51">
        <v>0</v>
      </c>
      <c r="S280" s="51">
        <v>0</v>
      </c>
      <c r="T280" s="51">
        <v>0.108113</v>
      </c>
      <c r="U280" s="51">
        <v>0</v>
      </c>
      <c r="V280" s="51">
        <v>0</v>
      </c>
      <c r="W280" s="51">
        <v>0</v>
      </c>
      <c r="X280" s="51">
        <v>0</v>
      </c>
      <c r="Y280" s="51">
        <v>0.10797</v>
      </c>
      <c r="Z280" s="51">
        <v>0</v>
      </c>
      <c r="AA280" s="51">
        <v>0.10809100000000001</v>
      </c>
      <c r="AG280">
        <v>0</v>
      </c>
      <c r="AH280">
        <v>6093600</v>
      </c>
      <c r="AI280">
        <v>21591600</v>
      </c>
      <c r="AJ280">
        <v>0</v>
      </c>
      <c r="AK280">
        <v>73913200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86677600</v>
      </c>
      <c r="AT280">
        <v>0</v>
      </c>
      <c r="AU280">
        <v>0</v>
      </c>
      <c r="AV280">
        <v>0</v>
      </c>
      <c r="AW280">
        <v>0</v>
      </c>
      <c r="AX280">
        <v>82129600</v>
      </c>
      <c r="AY280">
        <v>0</v>
      </c>
      <c r="AZ280">
        <v>78802400</v>
      </c>
    </row>
    <row r="281" spans="7:52" x14ac:dyDescent="0.25">
      <c r="G281" s="18">
        <v>3</v>
      </c>
      <c r="H281" s="51">
        <v>0</v>
      </c>
      <c r="I281" s="51">
        <v>0.107986</v>
      </c>
      <c r="J281" s="51">
        <v>0.10814</v>
      </c>
      <c r="K281" s="51">
        <v>0</v>
      </c>
      <c r="L281" s="51">
        <v>0</v>
      </c>
      <c r="M281" s="51">
        <v>0</v>
      </c>
      <c r="N281" s="51">
        <v>0</v>
      </c>
      <c r="O281" s="51">
        <v>0</v>
      </c>
      <c r="P281" s="51">
        <v>0</v>
      </c>
      <c r="Q281" s="51">
        <v>0</v>
      </c>
      <c r="R281" s="51">
        <v>0</v>
      </c>
      <c r="S281" s="51">
        <v>0</v>
      </c>
      <c r="T281" s="51">
        <v>0</v>
      </c>
      <c r="U281" s="51">
        <v>0.10809000000000001</v>
      </c>
      <c r="V281" s="51">
        <v>0</v>
      </c>
      <c r="W281" s="51">
        <v>0</v>
      </c>
      <c r="X281" s="51">
        <v>0</v>
      </c>
      <c r="Y281" s="51">
        <v>0</v>
      </c>
      <c r="Z281" s="51">
        <v>0</v>
      </c>
      <c r="AA281" s="51">
        <v>0</v>
      </c>
      <c r="AG281">
        <v>0</v>
      </c>
      <c r="AH281">
        <v>21591600</v>
      </c>
      <c r="AI281">
        <v>1385600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5715600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7:52" x14ac:dyDescent="0.25">
      <c r="G282" s="18">
        <v>4</v>
      </c>
      <c r="H282" s="51">
        <v>0</v>
      </c>
      <c r="I282" s="51">
        <v>0</v>
      </c>
      <c r="J282" s="51">
        <v>0</v>
      </c>
      <c r="K282" s="51">
        <v>0.10814</v>
      </c>
      <c r="L282" s="51">
        <v>0</v>
      </c>
      <c r="M282" s="51">
        <v>0</v>
      </c>
      <c r="N282" s="51">
        <v>0</v>
      </c>
      <c r="O282" s="51">
        <v>0</v>
      </c>
      <c r="P282" s="51">
        <v>0</v>
      </c>
      <c r="Q282" s="51">
        <v>0</v>
      </c>
      <c r="R282" s="51">
        <v>0.10814</v>
      </c>
      <c r="S282" s="51">
        <v>0</v>
      </c>
      <c r="T282" s="51">
        <v>0</v>
      </c>
      <c r="U282" s="51">
        <v>0</v>
      </c>
      <c r="V282" s="51">
        <v>0</v>
      </c>
      <c r="W282" s="51">
        <v>0</v>
      </c>
      <c r="X282" s="51">
        <v>0</v>
      </c>
      <c r="Y282" s="51">
        <v>0</v>
      </c>
      <c r="Z282" s="51">
        <v>0.107945</v>
      </c>
      <c r="AA282" s="51">
        <v>0</v>
      </c>
      <c r="AG282">
        <v>0</v>
      </c>
      <c r="AH282">
        <v>0</v>
      </c>
      <c r="AI282">
        <v>0</v>
      </c>
      <c r="AJ282">
        <v>700800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2271600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14969200</v>
      </c>
      <c r="AZ282">
        <v>0</v>
      </c>
    </row>
    <row r="283" spans="7:52" x14ac:dyDescent="0.25">
      <c r="G283" s="18">
        <v>5</v>
      </c>
      <c r="H283" s="51">
        <v>0</v>
      </c>
      <c r="I283" s="51">
        <v>0.108166</v>
      </c>
      <c r="J283" s="51">
        <v>0</v>
      </c>
      <c r="K283" s="51">
        <v>0</v>
      </c>
      <c r="L283" s="51">
        <v>0.10814</v>
      </c>
      <c r="M283" s="51">
        <v>0</v>
      </c>
      <c r="N283" s="51">
        <v>0</v>
      </c>
      <c r="O283" s="51">
        <v>0.108085</v>
      </c>
      <c r="P283" s="51">
        <v>0</v>
      </c>
      <c r="Q283" s="51">
        <v>0</v>
      </c>
      <c r="R283" s="51">
        <v>0</v>
      </c>
      <c r="S283" s="51">
        <v>0</v>
      </c>
      <c r="T283" s="51">
        <v>0</v>
      </c>
      <c r="U283" s="51">
        <v>0.107985</v>
      </c>
      <c r="V283" s="51">
        <v>0.10796699999999999</v>
      </c>
      <c r="W283" s="51">
        <v>0.108032</v>
      </c>
      <c r="X283" s="51">
        <v>0</v>
      </c>
      <c r="Y283" s="51">
        <v>0</v>
      </c>
      <c r="Z283" s="51">
        <v>0</v>
      </c>
      <c r="AA283" s="51">
        <v>0</v>
      </c>
      <c r="AG283">
        <v>0</v>
      </c>
      <c r="AH283">
        <v>73913200</v>
      </c>
      <c r="AI283">
        <v>0</v>
      </c>
      <c r="AJ283">
        <v>0</v>
      </c>
      <c r="AK283">
        <v>4467200</v>
      </c>
      <c r="AL283">
        <v>0</v>
      </c>
      <c r="AM283">
        <v>0</v>
      </c>
      <c r="AN283">
        <v>22750000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25493600</v>
      </c>
      <c r="AU283">
        <v>51566000</v>
      </c>
      <c r="AV283">
        <v>13334000</v>
      </c>
      <c r="AW283">
        <v>0</v>
      </c>
      <c r="AX283">
        <v>0</v>
      </c>
      <c r="AY283">
        <v>0</v>
      </c>
      <c r="AZ283">
        <v>0</v>
      </c>
    </row>
    <row r="284" spans="7:52" x14ac:dyDescent="0.25">
      <c r="G284" s="18">
        <v>6</v>
      </c>
      <c r="H284" s="51">
        <v>0</v>
      </c>
      <c r="I284" s="51">
        <v>0</v>
      </c>
      <c r="J284" s="51">
        <v>0</v>
      </c>
      <c r="K284" s="51">
        <v>0</v>
      </c>
      <c r="L284" s="51">
        <v>0</v>
      </c>
      <c r="M284" s="51">
        <v>0.10814</v>
      </c>
      <c r="N284" s="51">
        <v>0</v>
      </c>
      <c r="O284" s="51">
        <v>0</v>
      </c>
      <c r="P284" s="51">
        <v>0</v>
      </c>
      <c r="Q284" s="51">
        <v>0</v>
      </c>
      <c r="R284" s="51">
        <v>0</v>
      </c>
      <c r="S284" s="51">
        <v>0</v>
      </c>
      <c r="T284" s="51">
        <v>0</v>
      </c>
      <c r="U284" s="51">
        <v>0</v>
      </c>
      <c r="V284" s="51">
        <v>0</v>
      </c>
      <c r="W284" s="51">
        <v>0</v>
      </c>
      <c r="X284" s="51">
        <v>0</v>
      </c>
      <c r="Y284" s="51">
        <v>0.108033</v>
      </c>
      <c r="Z284" s="51">
        <v>0</v>
      </c>
      <c r="AA284" s="51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1728000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29914800</v>
      </c>
      <c r="AY284">
        <v>0</v>
      </c>
      <c r="AZ284">
        <v>0</v>
      </c>
    </row>
    <row r="285" spans="7:52" x14ac:dyDescent="0.25">
      <c r="G285" s="18">
        <v>7</v>
      </c>
      <c r="H285" s="51">
        <v>0</v>
      </c>
      <c r="I285" s="51">
        <v>0</v>
      </c>
      <c r="J285" s="51">
        <v>0</v>
      </c>
      <c r="K285" s="51">
        <v>0</v>
      </c>
      <c r="L285" s="51">
        <v>0</v>
      </c>
      <c r="M285" s="51">
        <v>0</v>
      </c>
      <c r="N285" s="51">
        <v>0.10814</v>
      </c>
      <c r="O285" s="51">
        <v>0</v>
      </c>
      <c r="P285" s="51">
        <v>0</v>
      </c>
      <c r="Q285" s="51">
        <v>0.10795</v>
      </c>
      <c r="R285" s="51">
        <v>0</v>
      </c>
      <c r="S285" s="51">
        <v>0</v>
      </c>
      <c r="T285" s="51">
        <v>0</v>
      </c>
      <c r="U285" s="51">
        <v>0</v>
      </c>
      <c r="V285" s="51">
        <v>0</v>
      </c>
      <c r="W285" s="51">
        <v>0</v>
      </c>
      <c r="X285" s="51">
        <v>0</v>
      </c>
      <c r="Y285" s="51">
        <v>0</v>
      </c>
      <c r="Z285" s="51">
        <v>0</v>
      </c>
      <c r="AA285" s="51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2412800</v>
      </c>
      <c r="AN285">
        <v>0</v>
      </c>
      <c r="AO285">
        <v>0</v>
      </c>
      <c r="AP285">
        <v>36727200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7:52" x14ac:dyDescent="0.25">
      <c r="G286" s="18">
        <v>8</v>
      </c>
      <c r="H286" s="51">
        <v>0</v>
      </c>
      <c r="I286" s="51">
        <v>0</v>
      </c>
      <c r="J286" s="51">
        <v>0</v>
      </c>
      <c r="K286" s="51">
        <v>0</v>
      </c>
      <c r="L286" s="51">
        <v>0.108085</v>
      </c>
      <c r="M286" s="51">
        <v>0</v>
      </c>
      <c r="N286" s="51">
        <v>0</v>
      </c>
      <c r="O286" s="51">
        <v>0.10814</v>
      </c>
      <c r="P286" s="51">
        <v>0.107945</v>
      </c>
      <c r="Q286" s="51">
        <v>0.108066</v>
      </c>
      <c r="R286" s="51">
        <v>0</v>
      </c>
      <c r="S286" s="51">
        <v>0</v>
      </c>
      <c r="T286" s="51">
        <v>0</v>
      </c>
      <c r="U286" s="51">
        <v>0</v>
      </c>
      <c r="V286" s="51">
        <v>0</v>
      </c>
      <c r="W286" s="51">
        <v>0</v>
      </c>
      <c r="X286" s="51">
        <v>0</v>
      </c>
      <c r="Y286" s="51">
        <v>0</v>
      </c>
      <c r="Z286" s="51">
        <v>0</v>
      </c>
      <c r="AA286" s="51">
        <v>0</v>
      </c>
      <c r="AG286">
        <v>0</v>
      </c>
      <c r="AH286">
        <v>0</v>
      </c>
      <c r="AI286">
        <v>0</v>
      </c>
      <c r="AJ286">
        <v>0</v>
      </c>
      <c r="AK286">
        <v>22750000</v>
      </c>
      <c r="AL286">
        <v>0</v>
      </c>
      <c r="AM286">
        <v>0</v>
      </c>
      <c r="AN286">
        <v>3696800</v>
      </c>
      <c r="AO286">
        <v>55538000</v>
      </c>
      <c r="AP286">
        <v>50620000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7:52" x14ac:dyDescent="0.25">
      <c r="G287" s="18">
        <v>9</v>
      </c>
      <c r="H287" s="51">
        <v>0</v>
      </c>
      <c r="I287" s="51">
        <v>0</v>
      </c>
      <c r="J287" s="51">
        <v>0</v>
      </c>
      <c r="K287" s="51">
        <v>0</v>
      </c>
      <c r="L287" s="51">
        <v>0</v>
      </c>
      <c r="M287" s="51">
        <v>0</v>
      </c>
      <c r="N287" s="51">
        <v>0</v>
      </c>
      <c r="O287" s="51">
        <v>0.107947</v>
      </c>
      <c r="P287" s="51">
        <v>0.10814</v>
      </c>
      <c r="Q287" s="51">
        <v>0</v>
      </c>
      <c r="R287" s="51">
        <v>0</v>
      </c>
      <c r="S287" s="51">
        <v>0.108137</v>
      </c>
      <c r="T287" s="51">
        <v>0</v>
      </c>
      <c r="U287" s="51">
        <v>0</v>
      </c>
      <c r="V287" s="51">
        <v>0.10814</v>
      </c>
      <c r="W287" s="51">
        <v>0.10814</v>
      </c>
      <c r="X287" s="51">
        <v>0</v>
      </c>
      <c r="Y287" s="51">
        <v>0</v>
      </c>
      <c r="Z287" s="51">
        <v>0</v>
      </c>
      <c r="AA287" s="51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55538000</v>
      </c>
      <c r="AO287">
        <v>10031200</v>
      </c>
      <c r="AP287">
        <v>0</v>
      </c>
      <c r="AQ287">
        <v>0</v>
      </c>
      <c r="AR287">
        <v>28847600</v>
      </c>
      <c r="AS287">
        <v>0</v>
      </c>
      <c r="AT287">
        <v>0</v>
      </c>
      <c r="AU287">
        <v>7493200</v>
      </c>
      <c r="AV287">
        <v>7407600</v>
      </c>
      <c r="AW287">
        <v>0</v>
      </c>
      <c r="AX287">
        <v>0</v>
      </c>
      <c r="AY287">
        <v>0</v>
      </c>
      <c r="AZ287">
        <v>0</v>
      </c>
    </row>
    <row r="288" spans="7:52" x14ac:dyDescent="0.25">
      <c r="G288" s="18">
        <v>10</v>
      </c>
      <c r="H288" s="51">
        <v>0</v>
      </c>
      <c r="I288" s="51">
        <v>0</v>
      </c>
      <c r="J288" s="51">
        <v>0</v>
      </c>
      <c r="K288" s="51">
        <v>0</v>
      </c>
      <c r="L288" s="51">
        <v>0</v>
      </c>
      <c r="M288" s="51">
        <v>0</v>
      </c>
      <c r="N288" s="51">
        <v>0.10793999999999999</v>
      </c>
      <c r="O288" s="51">
        <v>0.10805099999999999</v>
      </c>
      <c r="P288" s="51">
        <v>0</v>
      </c>
      <c r="Q288" s="51">
        <v>0.10814</v>
      </c>
      <c r="R288" s="51">
        <v>0</v>
      </c>
      <c r="S288" s="51">
        <v>0</v>
      </c>
      <c r="T288" s="51">
        <v>0</v>
      </c>
      <c r="U288" s="51">
        <v>0</v>
      </c>
      <c r="V288" s="51">
        <v>0</v>
      </c>
      <c r="W288" s="51">
        <v>0</v>
      </c>
      <c r="X288" s="51">
        <v>0</v>
      </c>
      <c r="Y288" s="51">
        <v>0</v>
      </c>
      <c r="Z288" s="51">
        <v>0</v>
      </c>
      <c r="AA288" s="51">
        <v>0.107942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36727200</v>
      </c>
      <c r="AN288">
        <v>50620000</v>
      </c>
      <c r="AO288">
        <v>0</v>
      </c>
      <c r="AP288">
        <v>1728000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91176800</v>
      </c>
    </row>
    <row r="289" spans="7:52" x14ac:dyDescent="0.25">
      <c r="G289" s="18">
        <v>11</v>
      </c>
      <c r="H289" s="51">
        <v>0.10814</v>
      </c>
      <c r="I289" s="51">
        <v>0</v>
      </c>
      <c r="J289" s="51">
        <v>0</v>
      </c>
      <c r="K289" s="51">
        <v>0.10814</v>
      </c>
      <c r="L289" s="51">
        <v>0</v>
      </c>
      <c r="M289" s="51">
        <v>0</v>
      </c>
      <c r="N289" s="51">
        <v>0</v>
      </c>
      <c r="O289" s="51">
        <v>0</v>
      </c>
      <c r="P289" s="51">
        <v>0</v>
      </c>
      <c r="Q289" s="51">
        <v>0</v>
      </c>
      <c r="R289" s="51">
        <v>0.10814</v>
      </c>
      <c r="S289" s="51">
        <v>0.108117</v>
      </c>
      <c r="T289" s="51">
        <v>0.107975</v>
      </c>
      <c r="U289" s="51">
        <v>0</v>
      </c>
      <c r="V289" s="51">
        <v>0</v>
      </c>
      <c r="W289" s="51">
        <v>0</v>
      </c>
      <c r="X289" s="51">
        <v>0</v>
      </c>
      <c r="Y289" s="51">
        <v>0</v>
      </c>
      <c r="Z289" s="51">
        <v>0</v>
      </c>
      <c r="AA289" s="51">
        <v>0</v>
      </c>
      <c r="AG289">
        <v>2870800</v>
      </c>
      <c r="AH289">
        <v>0</v>
      </c>
      <c r="AI289">
        <v>0</v>
      </c>
      <c r="AJ289">
        <v>2271600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9260800</v>
      </c>
      <c r="AR289">
        <v>20448800</v>
      </c>
      <c r="AS289">
        <v>51742800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7:52" x14ac:dyDescent="0.25">
      <c r="G290" s="18">
        <v>12</v>
      </c>
      <c r="H290" s="51">
        <v>0.108038</v>
      </c>
      <c r="I290" s="51">
        <v>0</v>
      </c>
      <c r="J290" s="51">
        <v>0</v>
      </c>
      <c r="K290" s="51">
        <v>0</v>
      </c>
      <c r="L290" s="51">
        <v>0</v>
      </c>
      <c r="M290" s="51">
        <v>0</v>
      </c>
      <c r="N290" s="51">
        <v>0</v>
      </c>
      <c r="O290" s="51">
        <v>0</v>
      </c>
      <c r="P290" s="51">
        <v>0.108137</v>
      </c>
      <c r="Q290" s="51">
        <v>0</v>
      </c>
      <c r="R290" s="51">
        <v>0.108117</v>
      </c>
      <c r="S290" s="51">
        <v>0.10814</v>
      </c>
      <c r="T290" s="51">
        <v>0</v>
      </c>
      <c r="U290" s="51">
        <v>0</v>
      </c>
      <c r="V290" s="51">
        <v>0</v>
      </c>
      <c r="W290" s="51">
        <v>0.10813200000000001</v>
      </c>
      <c r="X290" s="51">
        <v>0</v>
      </c>
      <c r="Y290" s="51">
        <v>0</v>
      </c>
      <c r="Z290" s="51">
        <v>0.108014</v>
      </c>
      <c r="AA290" s="51">
        <v>0</v>
      </c>
      <c r="AG290">
        <v>5030800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28847600</v>
      </c>
      <c r="AP290">
        <v>0</v>
      </c>
      <c r="AQ290">
        <v>20448800</v>
      </c>
      <c r="AR290">
        <v>2156000</v>
      </c>
      <c r="AS290">
        <v>0</v>
      </c>
      <c r="AT290">
        <v>0</v>
      </c>
      <c r="AU290">
        <v>0</v>
      </c>
      <c r="AV290">
        <v>11460800</v>
      </c>
      <c r="AW290">
        <v>0</v>
      </c>
      <c r="AX290">
        <v>0</v>
      </c>
      <c r="AY290">
        <v>29260000</v>
      </c>
      <c r="AZ290">
        <v>0</v>
      </c>
    </row>
    <row r="291" spans="7:52" x14ac:dyDescent="0.25">
      <c r="G291" s="18">
        <v>13</v>
      </c>
      <c r="H291" s="51">
        <v>0</v>
      </c>
      <c r="I291" s="51">
        <v>0.10810599999999999</v>
      </c>
      <c r="J291" s="51">
        <v>0</v>
      </c>
      <c r="K291" s="51">
        <v>0</v>
      </c>
      <c r="L291" s="51">
        <v>0</v>
      </c>
      <c r="M291" s="51">
        <v>0</v>
      </c>
      <c r="N291" s="51">
        <v>0</v>
      </c>
      <c r="O291" s="51">
        <v>0</v>
      </c>
      <c r="P291" s="51">
        <v>0</v>
      </c>
      <c r="Q291" s="51">
        <v>0</v>
      </c>
      <c r="R291" s="51">
        <v>0.107978</v>
      </c>
      <c r="S291" s="51">
        <v>0</v>
      </c>
      <c r="T291" s="51">
        <v>0.10814</v>
      </c>
      <c r="U291" s="51">
        <v>0</v>
      </c>
      <c r="V291" s="51">
        <v>0</v>
      </c>
      <c r="W291" s="51">
        <v>0.108017</v>
      </c>
      <c r="X291" s="51">
        <v>0.10798000000000001</v>
      </c>
      <c r="Y291" s="51">
        <v>0</v>
      </c>
      <c r="Z291" s="51">
        <v>0</v>
      </c>
      <c r="AA291" s="51">
        <v>0</v>
      </c>
      <c r="AG291">
        <v>0</v>
      </c>
      <c r="AH291">
        <v>86677600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51742800</v>
      </c>
      <c r="AR291">
        <v>0</v>
      </c>
      <c r="AS291">
        <v>872000</v>
      </c>
      <c r="AT291">
        <v>0</v>
      </c>
      <c r="AU291">
        <v>0</v>
      </c>
      <c r="AV291">
        <v>40881600</v>
      </c>
      <c r="AW291">
        <v>42689200</v>
      </c>
      <c r="AX291">
        <v>0</v>
      </c>
      <c r="AY291">
        <v>0</v>
      </c>
      <c r="AZ291">
        <v>0</v>
      </c>
    </row>
    <row r="292" spans="7:52" x14ac:dyDescent="0.25">
      <c r="G292" s="18">
        <v>14</v>
      </c>
      <c r="H292" s="51">
        <v>0</v>
      </c>
      <c r="I292" s="51">
        <v>0</v>
      </c>
      <c r="J292" s="51">
        <v>0.10809000000000001</v>
      </c>
      <c r="K292" s="51">
        <v>0</v>
      </c>
      <c r="L292" s="51">
        <v>0.107983</v>
      </c>
      <c r="M292" s="51">
        <v>0</v>
      </c>
      <c r="N292" s="51">
        <v>0</v>
      </c>
      <c r="O292" s="51">
        <v>0</v>
      </c>
      <c r="P292" s="51">
        <v>0</v>
      </c>
      <c r="Q292" s="51">
        <v>0</v>
      </c>
      <c r="R292" s="51">
        <v>0</v>
      </c>
      <c r="S292" s="51">
        <v>0</v>
      </c>
      <c r="T292" s="51">
        <v>0</v>
      </c>
      <c r="U292" s="51">
        <v>0.10814</v>
      </c>
      <c r="V292" s="51">
        <v>0</v>
      </c>
      <c r="W292" s="51">
        <v>0.108033</v>
      </c>
      <c r="X292" s="51">
        <v>0</v>
      </c>
      <c r="Y292" s="51">
        <v>0</v>
      </c>
      <c r="Z292" s="51">
        <v>0</v>
      </c>
      <c r="AA292" s="51">
        <v>0</v>
      </c>
      <c r="AG292">
        <v>0</v>
      </c>
      <c r="AH292">
        <v>0</v>
      </c>
      <c r="AI292">
        <v>5715600</v>
      </c>
      <c r="AJ292">
        <v>0</v>
      </c>
      <c r="AK292">
        <v>25493600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2070400</v>
      </c>
      <c r="AU292">
        <v>0</v>
      </c>
      <c r="AV292">
        <v>11898800</v>
      </c>
      <c r="AW292">
        <v>0</v>
      </c>
      <c r="AX292">
        <v>0</v>
      </c>
      <c r="AY292">
        <v>0</v>
      </c>
      <c r="AZ292">
        <v>0</v>
      </c>
    </row>
    <row r="293" spans="7:52" x14ac:dyDescent="0.25">
      <c r="G293" s="18">
        <v>15</v>
      </c>
      <c r="H293" s="51">
        <v>0</v>
      </c>
      <c r="I293" s="51">
        <v>0</v>
      </c>
      <c r="J293" s="51">
        <v>0</v>
      </c>
      <c r="K293" s="51">
        <v>0</v>
      </c>
      <c r="L293" s="51">
        <v>0.10796600000000001</v>
      </c>
      <c r="M293" s="51">
        <v>0</v>
      </c>
      <c r="N293" s="51">
        <v>0</v>
      </c>
      <c r="O293" s="51">
        <v>0</v>
      </c>
      <c r="P293" s="51">
        <v>0.10814</v>
      </c>
      <c r="Q293" s="51">
        <v>0</v>
      </c>
      <c r="R293" s="51">
        <v>0</v>
      </c>
      <c r="S293" s="51">
        <v>0</v>
      </c>
      <c r="T293" s="51">
        <v>0</v>
      </c>
      <c r="U293" s="51">
        <v>0</v>
      </c>
      <c r="V293" s="51">
        <v>0.10814</v>
      </c>
      <c r="W293" s="51">
        <v>0</v>
      </c>
      <c r="X293" s="51">
        <v>0</v>
      </c>
      <c r="Y293" s="51">
        <v>0</v>
      </c>
      <c r="Z293" s="51">
        <v>0</v>
      </c>
      <c r="AA293" s="51">
        <v>0</v>
      </c>
      <c r="AG293">
        <v>0</v>
      </c>
      <c r="AH293">
        <v>0</v>
      </c>
      <c r="AI293">
        <v>0</v>
      </c>
      <c r="AJ293">
        <v>0</v>
      </c>
      <c r="AK293">
        <v>51566000</v>
      </c>
      <c r="AL293">
        <v>0</v>
      </c>
      <c r="AM293">
        <v>0</v>
      </c>
      <c r="AN293">
        <v>0</v>
      </c>
      <c r="AO293">
        <v>7493200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5580000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7:52" x14ac:dyDescent="0.25">
      <c r="G294" s="18">
        <v>16</v>
      </c>
      <c r="H294" s="51">
        <v>0</v>
      </c>
      <c r="I294" s="51">
        <v>0</v>
      </c>
      <c r="J294" s="51">
        <v>0</v>
      </c>
      <c r="K294" s="51">
        <v>0</v>
      </c>
      <c r="L294" s="51">
        <v>0.108032</v>
      </c>
      <c r="M294" s="51">
        <v>0</v>
      </c>
      <c r="N294" s="51">
        <v>0</v>
      </c>
      <c r="O294" s="51">
        <v>0</v>
      </c>
      <c r="P294" s="51">
        <v>0.10814</v>
      </c>
      <c r="Q294" s="51">
        <v>0</v>
      </c>
      <c r="R294" s="51">
        <v>0</v>
      </c>
      <c r="S294" s="51">
        <v>0.10813200000000001</v>
      </c>
      <c r="T294" s="51">
        <v>0.108015</v>
      </c>
      <c r="U294" s="51">
        <v>0.108033</v>
      </c>
      <c r="V294" s="51">
        <v>0</v>
      </c>
      <c r="W294" s="51">
        <v>0.10814</v>
      </c>
      <c r="X294" s="51">
        <v>0</v>
      </c>
      <c r="Y294" s="51">
        <v>0</v>
      </c>
      <c r="Z294" s="51">
        <v>0</v>
      </c>
      <c r="AA294" s="51">
        <v>0</v>
      </c>
      <c r="AG294">
        <v>0</v>
      </c>
      <c r="AH294">
        <v>0</v>
      </c>
      <c r="AI294">
        <v>0</v>
      </c>
      <c r="AJ294">
        <v>0</v>
      </c>
      <c r="AK294">
        <v>13334000</v>
      </c>
      <c r="AL294">
        <v>0</v>
      </c>
      <c r="AM294">
        <v>0</v>
      </c>
      <c r="AN294">
        <v>0</v>
      </c>
      <c r="AO294">
        <v>7407600</v>
      </c>
      <c r="AP294">
        <v>0</v>
      </c>
      <c r="AQ294">
        <v>0</v>
      </c>
      <c r="AR294">
        <v>11460800</v>
      </c>
      <c r="AS294">
        <v>40881600</v>
      </c>
      <c r="AT294">
        <v>11898800</v>
      </c>
      <c r="AU294">
        <v>0</v>
      </c>
      <c r="AV294">
        <v>5408800</v>
      </c>
      <c r="AW294">
        <v>0</v>
      </c>
      <c r="AX294">
        <v>0</v>
      </c>
      <c r="AY294">
        <v>0</v>
      </c>
      <c r="AZ294">
        <v>0</v>
      </c>
    </row>
    <row r="295" spans="7:52" x14ac:dyDescent="0.25">
      <c r="G295" s="18">
        <v>17</v>
      </c>
      <c r="H295" s="51">
        <v>0</v>
      </c>
      <c r="I295" s="51">
        <v>0</v>
      </c>
      <c r="J295" s="51">
        <v>0</v>
      </c>
      <c r="K295" s="51">
        <v>0</v>
      </c>
      <c r="L295" s="51">
        <v>0</v>
      </c>
      <c r="M295" s="51">
        <v>0</v>
      </c>
      <c r="N295" s="51">
        <v>0</v>
      </c>
      <c r="O295" s="51">
        <v>0</v>
      </c>
      <c r="P295" s="51">
        <v>0</v>
      </c>
      <c r="Q295" s="51">
        <v>0</v>
      </c>
      <c r="R295" s="51">
        <v>0</v>
      </c>
      <c r="S295" s="51">
        <v>0</v>
      </c>
      <c r="T295" s="51">
        <v>0.10798000000000001</v>
      </c>
      <c r="U295" s="51">
        <v>0</v>
      </c>
      <c r="V295" s="51">
        <v>0</v>
      </c>
      <c r="W295" s="51">
        <v>0</v>
      </c>
      <c r="X295" s="51">
        <v>0.10814</v>
      </c>
      <c r="Y295" s="51">
        <v>0</v>
      </c>
      <c r="Z295" s="51">
        <v>0</v>
      </c>
      <c r="AA295" s="51">
        <v>0.10800999999999999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42689200</v>
      </c>
      <c r="AT295">
        <v>0</v>
      </c>
      <c r="AU295">
        <v>0</v>
      </c>
      <c r="AV295">
        <v>0</v>
      </c>
      <c r="AW295">
        <v>5751200</v>
      </c>
      <c r="AX295">
        <v>0</v>
      </c>
      <c r="AY295">
        <v>0</v>
      </c>
      <c r="AZ295">
        <v>17528400</v>
      </c>
    </row>
    <row r="296" spans="7:52" x14ac:dyDescent="0.25">
      <c r="G296" s="18">
        <v>18</v>
      </c>
      <c r="H296" s="51">
        <v>0.107978</v>
      </c>
      <c r="I296" s="51">
        <v>0.107964</v>
      </c>
      <c r="J296" s="51">
        <v>0</v>
      </c>
      <c r="K296" s="51">
        <v>0</v>
      </c>
      <c r="L296" s="51">
        <v>0</v>
      </c>
      <c r="M296" s="51">
        <v>0.108038</v>
      </c>
      <c r="N296" s="51">
        <v>0</v>
      </c>
      <c r="O296" s="51">
        <v>0</v>
      </c>
      <c r="P296" s="51">
        <v>0</v>
      </c>
      <c r="Q296" s="51">
        <v>0</v>
      </c>
      <c r="R296" s="51">
        <v>0</v>
      </c>
      <c r="S296" s="51">
        <v>0</v>
      </c>
      <c r="T296" s="51">
        <v>0</v>
      </c>
      <c r="U296" s="51">
        <v>0</v>
      </c>
      <c r="V296" s="51">
        <v>0</v>
      </c>
      <c r="W296" s="51">
        <v>0</v>
      </c>
      <c r="X296" s="51">
        <v>0</v>
      </c>
      <c r="Y296" s="51">
        <v>0.10814</v>
      </c>
      <c r="Z296" s="51">
        <v>0.108032</v>
      </c>
      <c r="AA296" s="51">
        <v>0</v>
      </c>
      <c r="AG296">
        <v>15524000</v>
      </c>
      <c r="AH296">
        <v>82129600</v>
      </c>
      <c r="AI296">
        <v>0</v>
      </c>
      <c r="AJ296">
        <v>0</v>
      </c>
      <c r="AK296">
        <v>0</v>
      </c>
      <c r="AL296">
        <v>29914800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700800</v>
      </c>
      <c r="AY296">
        <v>36098000</v>
      </c>
      <c r="AZ296">
        <v>0</v>
      </c>
    </row>
    <row r="297" spans="7:52" x14ac:dyDescent="0.25">
      <c r="G297" s="18">
        <v>19</v>
      </c>
      <c r="H297" s="51">
        <v>0</v>
      </c>
      <c r="I297" s="51">
        <v>0</v>
      </c>
      <c r="J297" s="51">
        <v>0</v>
      </c>
      <c r="K297" s="51">
        <v>0.107946</v>
      </c>
      <c r="L297" s="51">
        <v>0</v>
      </c>
      <c r="M297" s="51">
        <v>0</v>
      </c>
      <c r="N297" s="51">
        <v>0</v>
      </c>
      <c r="O297" s="51">
        <v>0</v>
      </c>
      <c r="P297" s="51">
        <v>0</v>
      </c>
      <c r="Q297" s="51">
        <v>0</v>
      </c>
      <c r="R297" s="51">
        <v>0</v>
      </c>
      <c r="S297" s="51">
        <v>0.108016</v>
      </c>
      <c r="T297" s="51">
        <v>0</v>
      </c>
      <c r="U297" s="51">
        <v>0</v>
      </c>
      <c r="V297" s="51">
        <v>0</v>
      </c>
      <c r="W297" s="51">
        <v>0</v>
      </c>
      <c r="X297" s="51">
        <v>0</v>
      </c>
      <c r="Y297" s="51">
        <v>0.108027</v>
      </c>
      <c r="Z297" s="51">
        <v>0.10814</v>
      </c>
      <c r="AA297" s="51">
        <v>0</v>
      </c>
      <c r="AG297">
        <v>0</v>
      </c>
      <c r="AH297">
        <v>0</v>
      </c>
      <c r="AI297">
        <v>0</v>
      </c>
      <c r="AJ297">
        <v>14969200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29260000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36098000</v>
      </c>
      <c r="AY297">
        <v>1214400</v>
      </c>
      <c r="AZ297">
        <v>0</v>
      </c>
    </row>
    <row r="298" spans="7:52" ht="15.75" thickBot="1" x14ac:dyDescent="0.3">
      <c r="G298" s="19">
        <v>20</v>
      </c>
      <c r="H298" s="51">
        <v>0</v>
      </c>
      <c r="I298" s="51">
        <v>0.108112</v>
      </c>
      <c r="J298" s="51">
        <v>0</v>
      </c>
      <c r="K298" s="51">
        <v>0</v>
      </c>
      <c r="L298" s="51">
        <v>0</v>
      </c>
      <c r="M298" s="51">
        <v>0</v>
      </c>
      <c r="N298" s="51">
        <v>0</v>
      </c>
      <c r="O298" s="51">
        <v>0</v>
      </c>
      <c r="P298" s="51">
        <v>0</v>
      </c>
      <c r="Q298" s="52">
        <v>0.107933</v>
      </c>
      <c r="R298" s="51">
        <v>0</v>
      </c>
      <c r="S298" s="51">
        <v>0</v>
      </c>
      <c r="T298" s="51">
        <v>0</v>
      </c>
      <c r="U298" s="51">
        <v>0</v>
      </c>
      <c r="V298" s="51">
        <v>0</v>
      </c>
      <c r="W298" s="51">
        <v>0</v>
      </c>
      <c r="X298" s="51">
        <v>0.108027</v>
      </c>
      <c r="Y298" s="51">
        <v>0</v>
      </c>
      <c r="Z298" s="51">
        <v>0</v>
      </c>
      <c r="AA298" s="51">
        <v>0.10814</v>
      </c>
      <c r="AG298">
        <v>0</v>
      </c>
      <c r="AH298">
        <v>78802400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91176800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17528400</v>
      </c>
      <c r="AX298">
        <v>0</v>
      </c>
      <c r="AY298">
        <v>0</v>
      </c>
      <c r="AZ298">
        <v>529600</v>
      </c>
    </row>
    <row r="299" spans="7:52" x14ac:dyDescent="0.25">
      <c r="H299" t="s">
        <v>45</v>
      </c>
      <c r="AZ299">
        <f>SUM(AG279:AZ298)</f>
        <v>2240588400</v>
      </c>
    </row>
    <row r="300" spans="7:52" x14ac:dyDescent="0.25">
      <c r="H300" t="s">
        <v>47</v>
      </c>
      <c r="K300" t="s">
        <v>46</v>
      </c>
    </row>
    <row r="303" spans="7:52" x14ac:dyDescent="0.25">
      <c r="H303" s="1" t="s">
        <v>57</v>
      </c>
    </row>
    <row r="304" spans="7:52" ht="15.75" thickBot="1" x14ac:dyDescent="0.3">
      <c r="H304" s="1" t="s">
        <v>42</v>
      </c>
    </row>
    <row r="305" spans="7:27" ht="15.75" thickBot="1" x14ac:dyDescent="0.3">
      <c r="H305" s="16">
        <v>1</v>
      </c>
      <c r="I305" s="20">
        <v>2</v>
      </c>
      <c r="J305" s="21">
        <v>3</v>
      </c>
      <c r="K305" s="21">
        <v>4</v>
      </c>
      <c r="L305" s="21">
        <v>5</v>
      </c>
      <c r="M305" s="21">
        <v>6</v>
      </c>
      <c r="N305" s="21">
        <v>7</v>
      </c>
      <c r="O305" s="21">
        <v>8</v>
      </c>
      <c r="P305" s="21">
        <v>9</v>
      </c>
      <c r="Q305" s="21">
        <v>10</v>
      </c>
      <c r="R305" s="21">
        <v>11</v>
      </c>
      <c r="S305" s="21">
        <v>12</v>
      </c>
      <c r="T305" s="21">
        <v>13</v>
      </c>
      <c r="U305" s="21">
        <v>14</v>
      </c>
      <c r="V305" s="21">
        <v>15</v>
      </c>
      <c r="W305" s="21">
        <v>16</v>
      </c>
      <c r="X305" s="21">
        <v>17</v>
      </c>
      <c r="Y305" s="21">
        <v>18</v>
      </c>
      <c r="Z305" s="21">
        <v>19</v>
      </c>
      <c r="AA305" s="22">
        <v>20</v>
      </c>
    </row>
    <row r="306" spans="7:27" x14ac:dyDescent="0.25">
      <c r="G306" s="23">
        <v>1</v>
      </c>
      <c r="H306" s="50">
        <v>1075200</v>
      </c>
      <c r="I306" s="50">
        <v>0</v>
      </c>
      <c r="J306" s="50">
        <v>0</v>
      </c>
      <c r="K306" s="50">
        <v>0</v>
      </c>
      <c r="L306" s="50">
        <v>0</v>
      </c>
      <c r="M306" s="50">
        <v>0</v>
      </c>
      <c r="N306" s="50">
        <v>0</v>
      </c>
      <c r="O306" s="50">
        <v>0</v>
      </c>
      <c r="P306" s="50">
        <v>0</v>
      </c>
      <c r="Q306" s="50">
        <v>0</v>
      </c>
      <c r="R306" s="50">
        <v>2872800</v>
      </c>
      <c r="S306" s="50">
        <v>5037800</v>
      </c>
      <c r="T306" s="50">
        <v>0</v>
      </c>
      <c r="U306" s="50">
        <v>0</v>
      </c>
      <c r="V306" s="50">
        <v>0</v>
      </c>
      <c r="W306" s="50">
        <v>0</v>
      </c>
      <c r="X306" s="50">
        <v>0</v>
      </c>
      <c r="Y306" s="50">
        <v>15528000</v>
      </c>
      <c r="Z306" s="50">
        <v>0</v>
      </c>
      <c r="AA306" s="50">
        <v>0</v>
      </c>
    </row>
    <row r="307" spans="7:27" x14ac:dyDescent="0.25">
      <c r="G307" s="17">
        <v>2</v>
      </c>
      <c r="H307" s="50">
        <v>0</v>
      </c>
      <c r="I307" s="50">
        <v>6125600</v>
      </c>
      <c r="J307" s="50">
        <v>21590600</v>
      </c>
      <c r="K307" s="50">
        <v>0</v>
      </c>
      <c r="L307" s="50">
        <v>73934200</v>
      </c>
      <c r="M307" s="50">
        <v>0</v>
      </c>
      <c r="N307" s="50">
        <v>0</v>
      </c>
      <c r="O307" s="50">
        <v>0</v>
      </c>
      <c r="P307" s="50">
        <v>0</v>
      </c>
      <c r="Q307" s="50">
        <v>0</v>
      </c>
      <c r="R307" s="50">
        <v>0</v>
      </c>
      <c r="S307" s="50">
        <v>0</v>
      </c>
      <c r="T307" s="50">
        <v>86694600</v>
      </c>
      <c r="U307" s="50">
        <v>0</v>
      </c>
      <c r="V307" s="50">
        <v>0</v>
      </c>
      <c r="W307" s="50">
        <v>0</v>
      </c>
      <c r="X307" s="50">
        <v>0</v>
      </c>
      <c r="Y307" s="50">
        <v>82084600</v>
      </c>
      <c r="Z307" s="50">
        <v>0</v>
      </c>
      <c r="AA307" s="50">
        <v>78865400</v>
      </c>
    </row>
    <row r="308" spans="7:27" x14ac:dyDescent="0.25">
      <c r="G308" s="18">
        <v>3</v>
      </c>
      <c r="H308" s="50">
        <v>0</v>
      </c>
      <c r="I308" s="50">
        <v>21590600</v>
      </c>
      <c r="J308" s="50">
        <v>1417600</v>
      </c>
      <c r="K308" s="50">
        <v>0</v>
      </c>
      <c r="L308" s="50">
        <v>0</v>
      </c>
      <c r="M308" s="50">
        <v>0</v>
      </c>
      <c r="N308" s="50">
        <v>0</v>
      </c>
      <c r="O308" s="50">
        <v>0</v>
      </c>
      <c r="P308" s="50">
        <v>0</v>
      </c>
      <c r="Q308" s="50">
        <v>0</v>
      </c>
      <c r="R308" s="50">
        <v>0</v>
      </c>
      <c r="S308" s="50">
        <v>0</v>
      </c>
      <c r="T308" s="50">
        <v>0</v>
      </c>
      <c r="U308" s="50">
        <v>5718600</v>
      </c>
      <c r="V308" s="50">
        <v>0</v>
      </c>
      <c r="W308" s="50">
        <v>0</v>
      </c>
      <c r="X308" s="50">
        <v>0</v>
      </c>
      <c r="Y308" s="50">
        <v>0</v>
      </c>
      <c r="Z308" s="50">
        <v>0</v>
      </c>
      <c r="AA308" s="50">
        <v>0</v>
      </c>
    </row>
    <row r="309" spans="7:27" x14ac:dyDescent="0.25">
      <c r="G309" s="18">
        <v>4</v>
      </c>
      <c r="H309" s="50">
        <v>0</v>
      </c>
      <c r="I309" s="50">
        <v>0</v>
      </c>
      <c r="J309" s="50">
        <v>0</v>
      </c>
      <c r="K309" s="50">
        <v>732800</v>
      </c>
      <c r="L309" s="50">
        <v>0</v>
      </c>
      <c r="M309" s="50">
        <v>0</v>
      </c>
      <c r="N309" s="50">
        <v>0</v>
      </c>
      <c r="O309" s="50">
        <v>0</v>
      </c>
      <c r="P309" s="50">
        <v>0</v>
      </c>
      <c r="Q309" s="50">
        <v>0</v>
      </c>
      <c r="R309" s="50">
        <v>2273600</v>
      </c>
      <c r="S309" s="50">
        <v>0</v>
      </c>
      <c r="T309" s="50">
        <v>0</v>
      </c>
      <c r="U309" s="50">
        <v>0</v>
      </c>
      <c r="V309" s="50">
        <v>0</v>
      </c>
      <c r="W309" s="50">
        <v>0</v>
      </c>
      <c r="X309" s="50">
        <v>0</v>
      </c>
      <c r="Y309" s="50">
        <v>0</v>
      </c>
      <c r="Z309" s="50">
        <v>14951200</v>
      </c>
      <c r="AA309" s="50">
        <v>0</v>
      </c>
    </row>
    <row r="310" spans="7:27" x14ac:dyDescent="0.25">
      <c r="G310" s="18">
        <v>5</v>
      </c>
      <c r="H310" s="50">
        <v>0</v>
      </c>
      <c r="I310" s="50">
        <v>73934200</v>
      </c>
      <c r="J310" s="50">
        <v>0</v>
      </c>
      <c r="K310" s="50">
        <v>0</v>
      </c>
      <c r="L310" s="50">
        <v>4499200</v>
      </c>
      <c r="M310" s="50">
        <v>0</v>
      </c>
      <c r="N310" s="50">
        <v>0</v>
      </c>
      <c r="O310" s="50">
        <v>22757000</v>
      </c>
      <c r="P310" s="50">
        <v>0</v>
      </c>
      <c r="Q310" s="50">
        <v>0</v>
      </c>
      <c r="R310" s="50">
        <v>0</v>
      </c>
      <c r="S310" s="50">
        <v>0</v>
      </c>
      <c r="T310" s="50">
        <v>0</v>
      </c>
      <c r="U310" s="50">
        <v>25490600</v>
      </c>
      <c r="V310" s="50">
        <v>51545000</v>
      </c>
      <c r="W310" s="50">
        <v>13338000</v>
      </c>
      <c r="X310" s="50">
        <v>0</v>
      </c>
      <c r="Y310" s="50">
        <v>0</v>
      </c>
      <c r="Z310" s="50">
        <v>0</v>
      </c>
      <c r="AA310" s="50">
        <v>0</v>
      </c>
    </row>
    <row r="311" spans="7:27" x14ac:dyDescent="0.25">
      <c r="G311" s="18">
        <v>6</v>
      </c>
      <c r="H311" s="50">
        <v>0</v>
      </c>
      <c r="I311" s="50">
        <v>0</v>
      </c>
      <c r="J311" s="50">
        <v>0</v>
      </c>
      <c r="K311" s="50">
        <v>0</v>
      </c>
      <c r="L311" s="50">
        <v>0</v>
      </c>
      <c r="M311" s="50">
        <v>1760000</v>
      </c>
      <c r="N311" s="50">
        <v>0</v>
      </c>
      <c r="O311" s="50">
        <v>0</v>
      </c>
      <c r="P311" s="50">
        <v>0</v>
      </c>
      <c r="Q311" s="50">
        <v>0</v>
      </c>
      <c r="R311" s="50">
        <v>0</v>
      </c>
      <c r="S311" s="50">
        <v>0</v>
      </c>
      <c r="T311" s="50">
        <v>0</v>
      </c>
      <c r="U311" s="50">
        <v>0</v>
      </c>
      <c r="V311" s="50">
        <v>0</v>
      </c>
      <c r="W311" s="50">
        <v>0</v>
      </c>
      <c r="X311" s="50">
        <v>0</v>
      </c>
      <c r="Y311" s="50">
        <v>29916800</v>
      </c>
      <c r="Z311" s="50">
        <v>0</v>
      </c>
      <c r="AA311" s="50">
        <v>0</v>
      </c>
    </row>
    <row r="312" spans="7:27" x14ac:dyDescent="0.25">
      <c r="G312" s="18">
        <v>7</v>
      </c>
      <c r="H312" s="50">
        <v>0</v>
      </c>
      <c r="I312" s="50">
        <v>0</v>
      </c>
      <c r="J312" s="50">
        <v>0</v>
      </c>
      <c r="K312" s="50">
        <v>0</v>
      </c>
      <c r="L312" s="50">
        <v>0</v>
      </c>
      <c r="M312" s="50">
        <v>0</v>
      </c>
      <c r="N312" s="50">
        <v>2444800</v>
      </c>
      <c r="O312" s="50">
        <v>0</v>
      </c>
      <c r="P312" s="50">
        <v>0</v>
      </c>
      <c r="Q312" s="50">
        <v>36745200</v>
      </c>
      <c r="R312" s="50">
        <v>0</v>
      </c>
      <c r="S312" s="50">
        <v>0</v>
      </c>
      <c r="T312" s="50">
        <v>0</v>
      </c>
      <c r="U312" s="50">
        <v>0</v>
      </c>
      <c r="V312" s="50">
        <v>0</v>
      </c>
      <c r="W312" s="50">
        <v>0</v>
      </c>
      <c r="X312" s="50">
        <v>0</v>
      </c>
      <c r="Y312" s="50">
        <v>0</v>
      </c>
      <c r="Z312" s="50">
        <v>0</v>
      </c>
      <c r="AA312" s="50">
        <v>0</v>
      </c>
    </row>
    <row r="313" spans="7:27" x14ac:dyDescent="0.25">
      <c r="G313" s="18">
        <v>8</v>
      </c>
      <c r="H313" s="50">
        <v>0</v>
      </c>
      <c r="I313" s="50">
        <v>0</v>
      </c>
      <c r="J313" s="50">
        <v>0</v>
      </c>
      <c r="K313" s="50">
        <v>0</v>
      </c>
      <c r="L313" s="50">
        <v>22757000</v>
      </c>
      <c r="M313" s="50">
        <v>0</v>
      </c>
      <c r="N313" s="50">
        <v>0</v>
      </c>
      <c r="O313" s="50">
        <v>3728800</v>
      </c>
      <c r="P313" s="50">
        <v>55457000</v>
      </c>
      <c r="Q313" s="50">
        <v>50645000</v>
      </c>
      <c r="R313" s="50">
        <v>0</v>
      </c>
      <c r="S313" s="50">
        <v>0</v>
      </c>
      <c r="T313" s="50">
        <v>0</v>
      </c>
      <c r="U313" s="50">
        <v>0</v>
      </c>
      <c r="V313" s="50">
        <v>0</v>
      </c>
      <c r="W313" s="50">
        <v>0</v>
      </c>
      <c r="X313" s="50">
        <v>0</v>
      </c>
      <c r="Y313" s="50">
        <v>0</v>
      </c>
      <c r="Z313" s="50">
        <v>0</v>
      </c>
      <c r="AA313" s="50">
        <v>0</v>
      </c>
    </row>
    <row r="314" spans="7:27" x14ac:dyDescent="0.25">
      <c r="G314" s="18">
        <v>9</v>
      </c>
      <c r="H314" s="50">
        <v>0</v>
      </c>
      <c r="I314" s="50">
        <v>0</v>
      </c>
      <c r="J314" s="50">
        <v>0</v>
      </c>
      <c r="K314" s="50">
        <v>0</v>
      </c>
      <c r="L314" s="50">
        <v>0</v>
      </c>
      <c r="M314" s="50">
        <v>0</v>
      </c>
      <c r="N314" s="50">
        <v>0</v>
      </c>
      <c r="O314" s="50">
        <v>55457000</v>
      </c>
      <c r="P314" s="50">
        <v>10063200</v>
      </c>
      <c r="Q314" s="50">
        <v>0</v>
      </c>
      <c r="R314" s="50">
        <v>0</v>
      </c>
      <c r="S314" s="50">
        <v>28858600</v>
      </c>
      <c r="T314" s="50">
        <v>0</v>
      </c>
      <c r="U314" s="50">
        <v>0</v>
      </c>
      <c r="V314" s="50">
        <v>7495200</v>
      </c>
      <c r="W314" s="50">
        <v>7409600</v>
      </c>
      <c r="X314" s="50">
        <v>0</v>
      </c>
      <c r="Y314" s="50">
        <v>0</v>
      </c>
      <c r="Z314" s="50">
        <v>0</v>
      </c>
      <c r="AA314" s="50">
        <v>0</v>
      </c>
    </row>
    <row r="315" spans="7:27" x14ac:dyDescent="0.25">
      <c r="G315" s="18">
        <v>10</v>
      </c>
      <c r="H315" s="50">
        <v>0</v>
      </c>
      <c r="I315" s="50">
        <v>0</v>
      </c>
      <c r="J315" s="50">
        <v>0</v>
      </c>
      <c r="K315" s="50">
        <v>0</v>
      </c>
      <c r="L315" s="50">
        <v>0</v>
      </c>
      <c r="M315" s="50">
        <v>0</v>
      </c>
      <c r="N315" s="50">
        <v>36745200</v>
      </c>
      <c r="O315" s="50">
        <v>50645000</v>
      </c>
      <c r="P315" s="50">
        <v>0</v>
      </c>
      <c r="Q315" s="50">
        <v>1760000</v>
      </c>
      <c r="R315" s="50">
        <v>0</v>
      </c>
      <c r="S315" s="50">
        <v>0</v>
      </c>
      <c r="T315" s="50">
        <v>0</v>
      </c>
      <c r="U315" s="50">
        <v>0</v>
      </c>
      <c r="V315" s="50">
        <v>0</v>
      </c>
      <c r="W315" s="50">
        <v>0</v>
      </c>
      <c r="X315" s="50">
        <v>0</v>
      </c>
      <c r="Y315" s="50">
        <v>0</v>
      </c>
      <c r="Z315" s="50">
        <v>0</v>
      </c>
      <c r="AA315" s="50">
        <v>89634800</v>
      </c>
    </row>
    <row r="316" spans="7:27" x14ac:dyDescent="0.25">
      <c r="G316" s="18">
        <v>11</v>
      </c>
      <c r="H316" s="50">
        <v>2872800</v>
      </c>
      <c r="I316" s="50">
        <v>0</v>
      </c>
      <c r="J316" s="50">
        <v>0</v>
      </c>
      <c r="K316" s="50">
        <v>2273600</v>
      </c>
      <c r="L316" s="50">
        <v>0</v>
      </c>
      <c r="M316" s="50">
        <v>0</v>
      </c>
      <c r="N316" s="50">
        <v>0</v>
      </c>
      <c r="O316" s="50">
        <v>0</v>
      </c>
      <c r="P316" s="50">
        <v>0</v>
      </c>
      <c r="Q316" s="50">
        <v>0</v>
      </c>
      <c r="R316" s="50">
        <v>9292800</v>
      </c>
      <c r="S316" s="50">
        <v>20450800</v>
      </c>
      <c r="T316" s="50">
        <v>51738800</v>
      </c>
      <c r="U316" s="50">
        <v>0</v>
      </c>
      <c r="V316" s="50">
        <v>0</v>
      </c>
      <c r="W316" s="50">
        <v>0</v>
      </c>
      <c r="X316" s="50">
        <v>0</v>
      </c>
      <c r="Y316" s="50">
        <v>0</v>
      </c>
      <c r="Z316" s="50">
        <v>0</v>
      </c>
      <c r="AA316" s="50">
        <v>0</v>
      </c>
    </row>
    <row r="317" spans="7:27" x14ac:dyDescent="0.25">
      <c r="G317" s="18">
        <v>12</v>
      </c>
      <c r="H317" s="50">
        <v>5037800</v>
      </c>
      <c r="I317" s="50">
        <v>0</v>
      </c>
      <c r="J317" s="50">
        <v>0</v>
      </c>
      <c r="K317" s="50">
        <v>0</v>
      </c>
      <c r="L317" s="50">
        <v>0</v>
      </c>
      <c r="M317" s="50">
        <v>0</v>
      </c>
      <c r="N317" s="50">
        <v>0</v>
      </c>
      <c r="O317" s="50">
        <v>0</v>
      </c>
      <c r="P317" s="50">
        <v>28858600</v>
      </c>
      <c r="Q317" s="50">
        <v>0</v>
      </c>
      <c r="R317" s="50">
        <v>20450800</v>
      </c>
      <c r="S317" s="50">
        <v>2188000</v>
      </c>
      <c r="T317" s="50">
        <v>0</v>
      </c>
      <c r="U317" s="50">
        <v>0</v>
      </c>
      <c r="V317" s="50">
        <v>0</v>
      </c>
      <c r="W317" s="50">
        <v>11465800</v>
      </c>
      <c r="X317" s="50">
        <v>0</v>
      </c>
      <c r="Y317" s="50">
        <v>0</v>
      </c>
      <c r="Z317" s="50">
        <v>29257000</v>
      </c>
      <c r="AA317" s="50">
        <v>0</v>
      </c>
    </row>
    <row r="318" spans="7:27" x14ac:dyDescent="0.25">
      <c r="G318" s="18">
        <v>13</v>
      </c>
      <c r="H318" s="50">
        <v>0</v>
      </c>
      <c r="I318" s="50">
        <v>86694600</v>
      </c>
      <c r="J318" s="50">
        <v>0</v>
      </c>
      <c r="K318" s="50">
        <v>0</v>
      </c>
      <c r="L318" s="50">
        <v>0</v>
      </c>
      <c r="M318" s="50">
        <v>0</v>
      </c>
      <c r="N318" s="50">
        <v>0</v>
      </c>
      <c r="O318" s="50">
        <v>0</v>
      </c>
      <c r="P318" s="50">
        <v>0</v>
      </c>
      <c r="Q318" s="50">
        <v>0</v>
      </c>
      <c r="R318" s="50">
        <v>51738800</v>
      </c>
      <c r="S318" s="50">
        <v>0</v>
      </c>
      <c r="T318" s="50">
        <v>904000</v>
      </c>
      <c r="U318" s="50">
        <v>0</v>
      </c>
      <c r="V318" s="50">
        <v>0</v>
      </c>
      <c r="W318" s="50">
        <v>40877600</v>
      </c>
      <c r="X318" s="50">
        <v>42691200</v>
      </c>
      <c r="Y318" s="50">
        <v>0</v>
      </c>
      <c r="Z318" s="50">
        <v>0</v>
      </c>
      <c r="AA318" s="50">
        <v>0</v>
      </c>
    </row>
    <row r="319" spans="7:27" x14ac:dyDescent="0.25">
      <c r="G319" s="18">
        <v>14</v>
      </c>
      <c r="H319" s="50">
        <v>0</v>
      </c>
      <c r="I319" s="50">
        <v>0</v>
      </c>
      <c r="J319" s="50">
        <v>5718600</v>
      </c>
      <c r="K319" s="50">
        <v>0</v>
      </c>
      <c r="L319" s="50">
        <v>25490600</v>
      </c>
      <c r="M319" s="50">
        <v>0</v>
      </c>
      <c r="N319" s="50">
        <v>0</v>
      </c>
      <c r="O319" s="50">
        <v>0</v>
      </c>
      <c r="P319" s="50">
        <v>0</v>
      </c>
      <c r="Q319" s="50">
        <v>0</v>
      </c>
      <c r="R319" s="50">
        <v>0</v>
      </c>
      <c r="S319" s="50">
        <v>0</v>
      </c>
      <c r="T319" s="50">
        <v>0</v>
      </c>
      <c r="U319" s="50">
        <v>2102400</v>
      </c>
      <c r="V319" s="50">
        <v>0</v>
      </c>
      <c r="W319" s="50">
        <v>11906800</v>
      </c>
      <c r="X319" s="50">
        <v>0</v>
      </c>
      <c r="Y319" s="50">
        <v>0</v>
      </c>
      <c r="Z319" s="50">
        <v>0</v>
      </c>
      <c r="AA319" s="50">
        <v>0</v>
      </c>
    </row>
    <row r="320" spans="7:27" x14ac:dyDescent="0.25">
      <c r="G320" s="18">
        <v>15</v>
      </c>
      <c r="H320" s="50">
        <v>0</v>
      </c>
      <c r="I320" s="50">
        <v>0</v>
      </c>
      <c r="J320" s="50">
        <v>0</v>
      </c>
      <c r="K320" s="50">
        <v>0</v>
      </c>
      <c r="L320" s="50">
        <v>51545000</v>
      </c>
      <c r="M320" s="50">
        <v>0</v>
      </c>
      <c r="N320" s="50">
        <v>0</v>
      </c>
      <c r="O320" s="50">
        <v>0</v>
      </c>
      <c r="P320" s="50">
        <v>7495200</v>
      </c>
      <c r="Q320" s="50">
        <v>0</v>
      </c>
      <c r="R320" s="50">
        <v>0</v>
      </c>
      <c r="S320" s="50">
        <v>0</v>
      </c>
      <c r="T320" s="50">
        <v>0</v>
      </c>
      <c r="U320" s="50">
        <v>0</v>
      </c>
      <c r="V320" s="50">
        <v>5612000</v>
      </c>
      <c r="W320" s="50">
        <v>0</v>
      </c>
      <c r="X320" s="50">
        <v>0</v>
      </c>
      <c r="Y320" s="50">
        <v>0</v>
      </c>
      <c r="Z320" s="50">
        <v>0</v>
      </c>
      <c r="AA320" s="50">
        <v>0</v>
      </c>
    </row>
    <row r="321" spans="7:28" x14ac:dyDescent="0.25">
      <c r="G321" s="18">
        <v>16</v>
      </c>
      <c r="H321" s="50">
        <v>0</v>
      </c>
      <c r="I321" s="50">
        <v>0</v>
      </c>
      <c r="J321" s="50">
        <v>0</v>
      </c>
      <c r="K321" s="50">
        <v>0</v>
      </c>
      <c r="L321" s="50">
        <v>13338000</v>
      </c>
      <c r="M321" s="50">
        <v>0</v>
      </c>
      <c r="N321" s="50">
        <v>0</v>
      </c>
      <c r="O321" s="50">
        <v>0</v>
      </c>
      <c r="P321" s="50">
        <v>7409600</v>
      </c>
      <c r="Q321" s="50">
        <v>0</v>
      </c>
      <c r="R321" s="50">
        <v>0</v>
      </c>
      <c r="S321" s="50">
        <v>11465800</v>
      </c>
      <c r="T321" s="50">
        <v>40877600</v>
      </c>
      <c r="U321" s="50">
        <v>11906800</v>
      </c>
      <c r="V321" s="50">
        <v>0</v>
      </c>
      <c r="W321" s="50">
        <v>5440800</v>
      </c>
      <c r="X321" s="50">
        <v>0</v>
      </c>
      <c r="Y321" s="50">
        <v>0</v>
      </c>
      <c r="Z321" s="50">
        <v>0</v>
      </c>
      <c r="AA321" s="50">
        <v>0</v>
      </c>
    </row>
    <row r="322" spans="7:28" x14ac:dyDescent="0.25">
      <c r="G322" s="18">
        <v>17</v>
      </c>
      <c r="H322" s="50">
        <v>0</v>
      </c>
      <c r="I322" s="50">
        <v>0</v>
      </c>
      <c r="J322" s="50">
        <v>0</v>
      </c>
      <c r="K322" s="50">
        <v>0</v>
      </c>
      <c r="L322" s="50">
        <v>0</v>
      </c>
      <c r="M322" s="50">
        <v>0</v>
      </c>
      <c r="N322" s="50">
        <v>0</v>
      </c>
      <c r="O322" s="50">
        <v>0</v>
      </c>
      <c r="P322" s="50">
        <v>0</v>
      </c>
      <c r="Q322" s="50">
        <v>0</v>
      </c>
      <c r="R322" s="50">
        <v>0</v>
      </c>
      <c r="S322" s="50">
        <v>0</v>
      </c>
      <c r="T322" s="50">
        <v>42691200</v>
      </c>
      <c r="U322" s="50">
        <v>0</v>
      </c>
      <c r="V322" s="50">
        <v>0</v>
      </c>
      <c r="W322" s="50">
        <v>0</v>
      </c>
      <c r="X322" s="50">
        <v>5783200</v>
      </c>
      <c r="Y322" s="50">
        <v>0</v>
      </c>
      <c r="Z322" s="50">
        <v>0</v>
      </c>
      <c r="AA322" s="50">
        <v>17536400</v>
      </c>
    </row>
    <row r="323" spans="7:28" x14ac:dyDescent="0.25">
      <c r="G323" s="18">
        <v>18</v>
      </c>
      <c r="H323" s="50">
        <v>15528000</v>
      </c>
      <c r="I323" s="50">
        <v>82084600</v>
      </c>
      <c r="J323" s="50">
        <v>0</v>
      </c>
      <c r="K323" s="50">
        <v>0</v>
      </c>
      <c r="L323" s="50">
        <v>0</v>
      </c>
      <c r="M323" s="50">
        <v>29916800</v>
      </c>
      <c r="N323" s="50">
        <v>0</v>
      </c>
      <c r="O323" s="50">
        <v>0</v>
      </c>
      <c r="P323" s="50">
        <v>0</v>
      </c>
      <c r="Q323" s="50">
        <v>0</v>
      </c>
      <c r="R323" s="50">
        <v>0</v>
      </c>
      <c r="S323" s="50">
        <v>0</v>
      </c>
      <c r="T323" s="50">
        <v>0</v>
      </c>
      <c r="U323" s="50">
        <v>0</v>
      </c>
      <c r="V323" s="50">
        <v>0</v>
      </c>
      <c r="W323" s="50">
        <v>0</v>
      </c>
      <c r="X323" s="50">
        <v>0</v>
      </c>
      <c r="Y323" s="50">
        <v>732800</v>
      </c>
      <c r="Z323" s="50">
        <v>36115000</v>
      </c>
      <c r="AA323" s="50">
        <v>0</v>
      </c>
    </row>
    <row r="324" spans="7:28" x14ac:dyDescent="0.25">
      <c r="G324" s="18">
        <v>19</v>
      </c>
      <c r="H324" s="50">
        <v>0</v>
      </c>
      <c r="I324" s="50">
        <v>0</v>
      </c>
      <c r="J324" s="50">
        <v>0</v>
      </c>
      <c r="K324" s="50">
        <v>14951200</v>
      </c>
      <c r="L324" s="50">
        <v>0</v>
      </c>
      <c r="M324" s="50">
        <v>0</v>
      </c>
      <c r="N324" s="50">
        <v>0</v>
      </c>
      <c r="O324" s="50">
        <v>0</v>
      </c>
      <c r="P324" s="50">
        <v>0</v>
      </c>
      <c r="Q324" s="50">
        <v>0</v>
      </c>
      <c r="R324" s="50">
        <v>0</v>
      </c>
      <c r="S324" s="50">
        <v>29257000</v>
      </c>
      <c r="T324" s="50">
        <v>0</v>
      </c>
      <c r="U324" s="50">
        <v>0</v>
      </c>
      <c r="V324" s="50">
        <v>0</v>
      </c>
      <c r="W324" s="50">
        <v>0</v>
      </c>
      <c r="X324" s="50">
        <v>0</v>
      </c>
      <c r="Y324" s="50">
        <v>36115000</v>
      </c>
      <c r="Z324" s="50">
        <v>1246400</v>
      </c>
      <c r="AA324" s="50">
        <v>0</v>
      </c>
    </row>
    <row r="325" spans="7:28" ht="15.75" thickBot="1" x14ac:dyDescent="0.3">
      <c r="G325" s="19">
        <v>20</v>
      </c>
      <c r="H325" s="50">
        <v>0</v>
      </c>
      <c r="I325" s="50">
        <v>78865400</v>
      </c>
      <c r="J325" s="50">
        <v>0</v>
      </c>
      <c r="K325" s="50">
        <v>0</v>
      </c>
      <c r="L325" s="50">
        <v>0</v>
      </c>
      <c r="M325" s="50">
        <v>0</v>
      </c>
      <c r="N325" s="50">
        <v>0</v>
      </c>
      <c r="O325" s="50">
        <v>0</v>
      </c>
      <c r="P325" s="50">
        <v>0</v>
      </c>
      <c r="Q325" s="50">
        <v>89634800</v>
      </c>
      <c r="R325" s="50">
        <v>0</v>
      </c>
      <c r="S325" s="50">
        <v>0</v>
      </c>
      <c r="T325" s="50">
        <v>0</v>
      </c>
      <c r="U325" s="50">
        <v>0</v>
      </c>
      <c r="V325" s="50">
        <v>0</v>
      </c>
      <c r="W325" s="50">
        <v>0</v>
      </c>
      <c r="X325" s="50">
        <v>17536400</v>
      </c>
      <c r="Y325" s="50">
        <v>0</v>
      </c>
      <c r="Z325" s="50">
        <v>0</v>
      </c>
      <c r="AA325" s="50">
        <v>561600</v>
      </c>
    </row>
    <row r="326" spans="7:28" x14ac:dyDescent="0.25">
      <c r="H326" t="s">
        <v>58</v>
      </c>
      <c r="AB326">
        <f>SUM(H306:AA325)</f>
        <v>2209238400</v>
      </c>
    </row>
    <row r="328" spans="7:28" ht="15.75" thickBot="1" x14ac:dyDescent="0.3">
      <c r="H328" s="1" t="s">
        <v>48</v>
      </c>
    </row>
    <row r="329" spans="7:28" ht="15.75" thickBot="1" x14ac:dyDescent="0.3">
      <c r="H329" s="16">
        <v>1</v>
      </c>
      <c r="I329" s="20">
        <v>2</v>
      </c>
      <c r="J329" s="21">
        <v>3</v>
      </c>
      <c r="K329" s="21">
        <v>4</v>
      </c>
      <c r="L329" s="21">
        <v>5</v>
      </c>
      <c r="M329" s="21">
        <v>6</v>
      </c>
      <c r="N329" s="21">
        <v>7</v>
      </c>
      <c r="O329" s="21">
        <v>8</v>
      </c>
      <c r="P329" s="21">
        <v>9</v>
      </c>
      <c r="Q329" s="21">
        <v>10</v>
      </c>
      <c r="R329" s="21">
        <v>11</v>
      </c>
      <c r="S329" s="21">
        <v>12</v>
      </c>
      <c r="T329" s="21">
        <v>13</v>
      </c>
      <c r="U329" s="21">
        <v>14</v>
      </c>
      <c r="V329" s="21">
        <v>15</v>
      </c>
      <c r="W329" s="21">
        <v>16</v>
      </c>
      <c r="X329" s="21">
        <v>17</v>
      </c>
      <c r="Y329" s="21">
        <v>18</v>
      </c>
      <c r="Z329" s="21">
        <v>19</v>
      </c>
      <c r="AA329" s="22">
        <v>20</v>
      </c>
    </row>
    <row r="330" spans="7:28" x14ac:dyDescent="0.25">
      <c r="G330" s="23">
        <v>1</v>
      </c>
      <c r="H330" s="51">
        <v>3.3333000000000002E-2</v>
      </c>
      <c r="I330" s="51">
        <v>0</v>
      </c>
      <c r="J330" s="51">
        <v>0</v>
      </c>
      <c r="K330" s="51">
        <v>0</v>
      </c>
      <c r="L330" s="51">
        <v>0</v>
      </c>
      <c r="M330" s="51">
        <v>0</v>
      </c>
      <c r="N330" s="51">
        <v>0</v>
      </c>
      <c r="O330" s="51">
        <v>0</v>
      </c>
      <c r="P330" s="51">
        <v>0</v>
      </c>
      <c r="Q330" s="51">
        <v>0</v>
      </c>
      <c r="R330" s="51">
        <v>3.3333000000000002E-2</v>
      </c>
      <c r="S330" s="51">
        <v>2.1918E-2</v>
      </c>
      <c r="T330" s="51">
        <v>0</v>
      </c>
      <c r="U330" s="51">
        <v>0</v>
      </c>
      <c r="V330" s="51">
        <v>0</v>
      </c>
      <c r="W330" s="51">
        <v>0</v>
      </c>
      <c r="X330" s="51">
        <v>0</v>
      </c>
      <c r="Y330" s="51">
        <v>1.3332999999999999E-2</v>
      </c>
      <c r="Z330" s="51">
        <v>0</v>
      </c>
      <c r="AA330" s="51">
        <v>0</v>
      </c>
    </row>
    <row r="331" spans="7:28" x14ac:dyDescent="0.25">
      <c r="G331" s="17">
        <v>2</v>
      </c>
      <c r="H331" s="51">
        <v>0</v>
      </c>
      <c r="I331" s="51">
        <v>3.3333000000000002E-2</v>
      </c>
      <c r="J331" s="51">
        <v>1.5238E-2</v>
      </c>
      <c r="K331" s="51">
        <v>0</v>
      </c>
      <c r="L331" s="51">
        <v>1.0884E-2</v>
      </c>
      <c r="M331" s="51">
        <v>0</v>
      </c>
      <c r="N331" s="51">
        <v>0</v>
      </c>
      <c r="O331" s="51">
        <v>0</v>
      </c>
      <c r="P331" s="51">
        <v>0</v>
      </c>
      <c r="Q331" s="51">
        <v>0</v>
      </c>
      <c r="R331" s="51">
        <v>0</v>
      </c>
      <c r="S331" s="51">
        <v>0</v>
      </c>
      <c r="T331" s="51">
        <v>1.0458E-2</v>
      </c>
      <c r="U331" s="51">
        <v>0</v>
      </c>
      <c r="V331" s="51">
        <v>0</v>
      </c>
      <c r="W331" s="51">
        <v>0</v>
      </c>
      <c r="X331" s="51">
        <v>0</v>
      </c>
      <c r="Y331" s="51">
        <v>6.3749999999999996E-3</v>
      </c>
      <c r="Z331" s="51">
        <v>0</v>
      </c>
      <c r="AA331" s="51">
        <v>8.0400000000000003E-3</v>
      </c>
    </row>
    <row r="332" spans="7:28" x14ac:dyDescent="0.25">
      <c r="G332" s="18">
        <v>3</v>
      </c>
      <c r="H332" s="51">
        <v>0</v>
      </c>
      <c r="I332" s="51">
        <v>1.5238E-2</v>
      </c>
      <c r="J332" s="51">
        <v>3.3333000000000002E-2</v>
      </c>
      <c r="K332" s="51">
        <v>0</v>
      </c>
      <c r="L332" s="51">
        <v>0</v>
      </c>
      <c r="M332" s="51">
        <v>0</v>
      </c>
      <c r="N332" s="51">
        <v>0</v>
      </c>
      <c r="O332" s="51">
        <v>0</v>
      </c>
      <c r="P332" s="51">
        <v>0</v>
      </c>
      <c r="Q332" s="51">
        <v>0</v>
      </c>
      <c r="R332" s="51">
        <v>0</v>
      </c>
      <c r="S332" s="51">
        <v>0</v>
      </c>
      <c r="T332" s="51">
        <v>0</v>
      </c>
      <c r="U332" s="51">
        <v>2.3188E-2</v>
      </c>
      <c r="V332" s="51">
        <v>0</v>
      </c>
      <c r="W332" s="51">
        <v>0</v>
      </c>
      <c r="X332" s="51">
        <v>0</v>
      </c>
      <c r="Y332" s="51">
        <v>0</v>
      </c>
      <c r="Z332" s="51">
        <v>0</v>
      </c>
      <c r="AA332" s="51">
        <v>0</v>
      </c>
    </row>
    <row r="333" spans="7:28" x14ac:dyDescent="0.25">
      <c r="G333" s="18">
        <v>4</v>
      </c>
      <c r="H333" s="51">
        <v>0</v>
      </c>
      <c r="I333" s="51">
        <v>0</v>
      </c>
      <c r="J333" s="51">
        <v>0</v>
      </c>
      <c r="K333" s="51">
        <v>3.3333000000000002E-2</v>
      </c>
      <c r="L333" s="51">
        <v>0</v>
      </c>
      <c r="M333" s="51">
        <v>0</v>
      </c>
      <c r="N333" s="51">
        <v>0</v>
      </c>
      <c r="O333" s="51">
        <v>0</v>
      </c>
      <c r="P333" s="51">
        <v>0</v>
      </c>
      <c r="Q333" s="51">
        <v>0</v>
      </c>
      <c r="R333" s="51">
        <v>3.3333000000000002E-2</v>
      </c>
      <c r="S333" s="51">
        <v>0</v>
      </c>
      <c r="T333" s="51">
        <v>0</v>
      </c>
      <c r="U333" s="51">
        <v>0</v>
      </c>
      <c r="V333" s="51">
        <v>0</v>
      </c>
      <c r="W333" s="51">
        <v>0</v>
      </c>
      <c r="X333" s="51">
        <v>0</v>
      </c>
      <c r="Y333" s="51">
        <v>0</v>
      </c>
      <c r="Z333" s="51">
        <v>7.0179999999999999E-3</v>
      </c>
      <c r="AA333" s="51">
        <v>0</v>
      </c>
    </row>
    <row r="334" spans="7:28" x14ac:dyDescent="0.25">
      <c r="G334" s="18">
        <v>5</v>
      </c>
      <c r="H334" s="51">
        <v>0</v>
      </c>
      <c r="I334" s="51">
        <v>1.0884E-2</v>
      </c>
      <c r="J334" s="51">
        <v>0</v>
      </c>
      <c r="K334" s="51">
        <v>0</v>
      </c>
      <c r="L334" s="51">
        <v>3.3333000000000002E-2</v>
      </c>
      <c r="M334" s="51">
        <v>0</v>
      </c>
      <c r="N334" s="51">
        <v>0</v>
      </c>
      <c r="O334" s="51">
        <v>2.1918E-2</v>
      </c>
      <c r="P334" s="51">
        <v>0</v>
      </c>
      <c r="Q334" s="51">
        <v>0</v>
      </c>
      <c r="R334" s="51">
        <v>0</v>
      </c>
      <c r="S334" s="51">
        <v>0</v>
      </c>
      <c r="T334" s="51">
        <v>0</v>
      </c>
      <c r="U334" s="51">
        <v>1.0458E-2</v>
      </c>
      <c r="V334" s="51">
        <v>8.6490000000000004E-3</v>
      </c>
      <c r="W334" s="51">
        <v>2.2856999999999999E-2</v>
      </c>
      <c r="X334" s="51">
        <v>0</v>
      </c>
      <c r="Y334" s="51">
        <v>0</v>
      </c>
      <c r="Z334" s="51">
        <v>0</v>
      </c>
      <c r="AA334" s="51">
        <v>0</v>
      </c>
    </row>
    <row r="335" spans="7:28" x14ac:dyDescent="0.25">
      <c r="G335" s="18">
        <v>6</v>
      </c>
      <c r="H335" s="51">
        <v>0</v>
      </c>
      <c r="I335" s="51">
        <v>0</v>
      </c>
      <c r="J335" s="51">
        <v>0</v>
      </c>
      <c r="K335" s="51">
        <v>0</v>
      </c>
      <c r="L335" s="51">
        <v>0</v>
      </c>
      <c r="M335" s="51">
        <v>3.3333000000000002E-2</v>
      </c>
      <c r="N335" s="51">
        <v>0</v>
      </c>
      <c r="O335" s="51">
        <v>0</v>
      </c>
      <c r="P335" s="51">
        <v>0</v>
      </c>
      <c r="Q335" s="51">
        <v>0</v>
      </c>
      <c r="R335" s="51">
        <v>0</v>
      </c>
      <c r="S335" s="51">
        <v>0</v>
      </c>
      <c r="T335" s="51">
        <v>0</v>
      </c>
      <c r="U335" s="51">
        <v>0</v>
      </c>
      <c r="V335" s="51">
        <v>0</v>
      </c>
      <c r="W335" s="51">
        <v>0</v>
      </c>
      <c r="X335" s="51">
        <v>0</v>
      </c>
      <c r="Y335" s="51">
        <v>1.2500000000000001E-2</v>
      </c>
      <c r="Z335" s="51">
        <v>0</v>
      </c>
      <c r="AA335" s="51">
        <v>0</v>
      </c>
    </row>
    <row r="336" spans="7:28" x14ac:dyDescent="0.25">
      <c r="G336" s="18">
        <v>7</v>
      </c>
      <c r="H336" s="51">
        <v>0</v>
      </c>
      <c r="I336" s="51">
        <v>0</v>
      </c>
      <c r="J336" s="51">
        <v>0</v>
      </c>
      <c r="K336" s="51">
        <v>0</v>
      </c>
      <c r="L336" s="51">
        <v>0</v>
      </c>
      <c r="M336" s="51">
        <v>0</v>
      </c>
      <c r="N336" s="51">
        <v>3.3333000000000002E-2</v>
      </c>
      <c r="O336" s="51">
        <v>0</v>
      </c>
      <c r="P336" s="51">
        <v>0</v>
      </c>
      <c r="Q336" s="51">
        <v>8.2470000000000009E-3</v>
      </c>
      <c r="R336" s="51">
        <v>0</v>
      </c>
      <c r="S336" s="51">
        <v>0</v>
      </c>
      <c r="T336" s="51">
        <v>0</v>
      </c>
      <c r="U336" s="51">
        <v>0</v>
      </c>
      <c r="V336" s="51">
        <v>0</v>
      </c>
      <c r="W336" s="51">
        <v>0</v>
      </c>
      <c r="X336" s="51">
        <v>0</v>
      </c>
      <c r="Y336" s="51">
        <v>0</v>
      </c>
      <c r="Z336" s="51">
        <v>0</v>
      </c>
      <c r="AA336" s="51">
        <v>0</v>
      </c>
    </row>
    <row r="337" spans="7:27" x14ac:dyDescent="0.25">
      <c r="G337" s="18">
        <v>8</v>
      </c>
      <c r="H337" s="51">
        <v>0</v>
      </c>
      <c r="I337" s="51">
        <v>0</v>
      </c>
      <c r="J337" s="51">
        <v>0</v>
      </c>
      <c r="K337" s="51">
        <v>0</v>
      </c>
      <c r="L337" s="51">
        <v>2.1918E-2</v>
      </c>
      <c r="M337" s="51">
        <v>0</v>
      </c>
      <c r="N337" s="51">
        <v>0</v>
      </c>
      <c r="O337" s="51">
        <v>3.3333000000000002E-2</v>
      </c>
      <c r="P337" s="51">
        <v>6.5310000000000003E-3</v>
      </c>
      <c r="Q337" s="51">
        <v>1.1348E-2</v>
      </c>
      <c r="R337" s="51">
        <v>0</v>
      </c>
      <c r="S337" s="51">
        <v>0</v>
      </c>
      <c r="T337" s="51">
        <v>0</v>
      </c>
      <c r="U337" s="51">
        <v>0</v>
      </c>
      <c r="V337" s="51">
        <v>0</v>
      </c>
      <c r="W337" s="51">
        <v>0</v>
      </c>
      <c r="X337" s="51">
        <v>0</v>
      </c>
      <c r="Y337" s="51">
        <v>0</v>
      </c>
      <c r="Z337" s="51">
        <v>0</v>
      </c>
      <c r="AA337" s="51">
        <v>0</v>
      </c>
    </row>
    <row r="338" spans="7:27" x14ac:dyDescent="0.25">
      <c r="G338" s="18">
        <v>9</v>
      </c>
      <c r="H338" s="51">
        <v>0</v>
      </c>
      <c r="I338" s="51">
        <v>0</v>
      </c>
      <c r="J338" s="51">
        <v>0</v>
      </c>
      <c r="K338" s="51">
        <v>0</v>
      </c>
      <c r="L338" s="51">
        <v>0</v>
      </c>
      <c r="M338" s="51">
        <v>0</v>
      </c>
      <c r="N338" s="51">
        <v>0</v>
      </c>
      <c r="O338" s="51">
        <v>6.5310000000000003E-3</v>
      </c>
      <c r="P338" s="51">
        <v>3.3333000000000002E-2</v>
      </c>
      <c r="Q338" s="51">
        <v>0</v>
      </c>
      <c r="R338" s="51">
        <v>0</v>
      </c>
      <c r="S338" s="51">
        <v>1.6494999999999999E-2</v>
      </c>
      <c r="T338" s="51">
        <v>0</v>
      </c>
      <c r="U338" s="51">
        <v>0</v>
      </c>
      <c r="V338" s="51">
        <v>3.3333000000000002E-2</v>
      </c>
      <c r="W338" s="51">
        <v>3.3333000000000002E-2</v>
      </c>
      <c r="X338" s="51">
        <v>0</v>
      </c>
      <c r="Y338" s="51">
        <v>0</v>
      </c>
      <c r="Z338" s="51">
        <v>0</v>
      </c>
      <c r="AA338" s="51">
        <v>0</v>
      </c>
    </row>
    <row r="339" spans="7:27" x14ac:dyDescent="0.25">
      <c r="G339" s="18">
        <v>10</v>
      </c>
      <c r="H339" s="51">
        <v>0</v>
      </c>
      <c r="I339" s="51">
        <v>0</v>
      </c>
      <c r="J339" s="51">
        <v>0</v>
      </c>
      <c r="K339" s="51">
        <v>0</v>
      </c>
      <c r="L339" s="51">
        <v>0</v>
      </c>
      <c r="M339" s="51">
        <v>0</v>
      </c>
      <c r="N339" s="51">
        <v>8.2470000000000009E-3</v>
      </c>
      <c r="O339" s="51">
        <v>1.1348E-2</v>
      </c>
      <c r="P339" s="51">
        <v>0</v>
      </c>
      <c r="Q339" s="51">
        <v>3.3333000000000002E-2</v>
      </c>
      <c r="R339" s="51">
        <v>0</v>
      </c>
      <c r="S339" s="51">
        <v>0</v>
      </c>
      <c r="T339" s="51">
        <v>0</v>
      </c>
      <c r="U339" s="51">
        <v>0</v>
      </c>
      <c r="V339" s="51">
        <v>0</v>
      </c>
      <c r="W339" s="51">
        <v>0</v>
      </c>
      <c r="X339" s="51">
        <v>0</v>
      </c>
      <c r="Y339" s="51">
        <v>0</v>
      </c>
      <c r="Z339" s="51">
        <v>0</v>
      </c>
      <c r="AA339" s="51">
        <v>4.5199999999999997E-3</v>
      </c>
    </row>
    <row r="340" spans="7:27" x14ac:dyDescent="0.25">
      <c r="G340" s="18">
        <v>11</v>
      </c>
      <c r="H340" s="51">
        <v>3.3333000000000002E-2</v>
      </c>
      <c r="I340" s="51">
        <v>0</v>
      </c>
      <c r="J340" s="51">
        <v>0</v>
      </c>
      <c r="K340" s="51">
        <v>3.3333000000000002E-2</v>
      </c>
      <c r="L340" s="51">
        <v>0</v>
      </c>
      <c r="M340" s="51">
        <v>0</v>
      </c>
      <c r="N340" s="51">
        <v>0</v>
      </c>
      <c r="O340" s="51">
        <v>0</v>
      </c>
      <c r="P340" s="51">
        <v>0</v>
      </c>
      <c r="Q340" s="51">
        <v>0</v>
      </c>
      <c r="R340" s="51">
        <v>3.3333000000000002E-2</v>
      </c>
      <c r="S340" s="51">
        <v>2.0513E-2</v>
      </c>
      <c r="T340" s="51">
        <v>1.3115E-2</v>
      </c>
      <c r="U340" s="51">
        <v>0</v>
      </c>
      <c r="V340" s="51">
        <v>0</v>
      </c>
      <c r="W340" s="51">
        <v>0</v>
      </c>
      <c r="X340" s="51">
        <v>0</v>
      </c>
      <c r="Y340" s="51">
        <v>0</v>
      </c>
      <c r="Z340" s="51">
        <v>0</v>
      </c>
      <c r="AA340" s="51">
        <v>0</v>
      </c>
    </row>
    <row r="341" spans="7:27" x14ac:dyDescent="0.25">
      <c r="G341" s="18">
        <v>12</v>
      </c>
      <c r="H341" s="51">
        <v>2.1918E-2</v>
      </c>
      <c r="I341" s="51">
        <v>0</v>
      </c>
      <c r="J341" s="51">
        <v>0</v>
      </c>
      <c r="K341" s="51">
        <v>0</v>
      </c>
      <c r="L341" s="51">
        <v>0</v>
      </c>
      <c r="M341" s="51">
        <v>0</v>
      </c>
      <c r="N341" s="51">
        <v>0</v>
      </c>
      <c r="O341" s="51">
        <v>0</v>
      </c>
      <c r="P341" s="51">
        <v>1.6494999999999999E-2</v>
      </c>
      <c r="Q341" s="51">
        <v>0</v>
      </c>
      <c r="R341" s="51">
        <v>2.0513E-2</v>
      </c>
      <c r="S341" s="51">
        <v>3.3333000000000002E-2</v>
      </c>
      <c r="T341" s="51">
        <v>0</v>
      </c>
      <c r="U341" s="51">
        <v>0</v>
      </c>
      <c r="V341" s="51">
        <v>0</v>
      </c>
      <c r="W341" s="51">
        <v>1.9753E-2</v>
      </c>
      <c r="X341" s="51">
        <v>0</v>
      </c>
      <c r="Y341" s="51">
        <v>0</v>
      </c>
      <c r="Z341" s="51">
        <v>1.0458E-2</v>
      </c>
      <c r="AA341" s="51">
        <v>0</v>
      </c>
    </row>
    <row r="342" spans="7:27" x14ac:dyDescent="0.25">
      <c r="G342" s="18">
        <v>13</v>
      </c>
      <c r="H342" s="51">
        <v>0</v>
      </c>
      <c r="I342" s="51">
        <v>1.0458E-2</v>
      </c>
      <c r="J342" s="51">
        <v>0</v>
      </c>
      <c r="K342" s="51">
        <v>0</v>
      </c>
      <c r="L342" s="51">
        <v>0</v>
      </c>
      <c r="M342" s="51">
        <v>0</v>
      </c>
      <c r="N342" s="51">
        <v>0</v>
      </c>
      <c r="O342" s="51">
        <v>0</v>
      </c>
      <c r="P342" s="51">
        <v>0</v>
      </c>
      <c r="Q342" s="51">
        <v>0</v>
      </c>
      <c r="R342" s="51">
        <v>1.3115E-2</v>
      </c>
      <c r="S342" s="51">
        <v>0</v>
      </c>
      <c r="T342" s="51">
        <v>3.3333000000000002E-2</v>
      </c>
      <c r="U342" s="51">
        <v>0</v>
      </c>
      <c r="V342" s="51">
        <v>0</v>
      </c>
      <c r="W342" s="51">
        <v>1.2121E-2</v>
      </c>
      <c r="X342" s="51">
        <v>1.0810999999999999E-2</v>
      </c>
      <c r="Y342" s="51">
        <v>0</v>
      </c>
      <c r="Z342" s="51">
        <v>0</v>
      </c>
      <c r="AA342" s="51">
        <v>0</v>
      </c>
    </row>
    <row r="343" spans="7:27" x14ac:dyDescent="0.25">
      <c r="G343" s="18">
        <v>14</v>
      </c>
      <c r="H343" s="51">
        <v>0</v>
      </c>
      <c r="I343" s="51">
        <v>0</v>
      </c>
      <c r="J343" s="51">
        <v>2.3188E-2</v>
      </c>
      <c r="K343" s="51">
        <v>0</v>
      </c>
      <c r="L343" s="51">
        <v>1.0458E-2</v>
      </c>
      <c r="M343" s="51">
        <v>0</v>
      </c>
      <c r="N343" s="51">
        <v>0</v>
      </c>
      <c r="O343" s="51">
        <v>0</v>
      </c>
      <c r="P343" s="51">
        <v>0</v>
      </c>
      <c r="Q343" s="51">
        <v>0</v>
      </c>
      <c r="R343" s="51">
        <v>0</v>
      </c>
      <c r="S343" s="51">
        <v>0</v>
      </c>
      <c r="T343" s="51">
        <v>0</v>
      </c>
      <c r="U343" s="51">
        <v>3.3333000000000002E-2</v>
      </c>
      <c r="V343" s="51">
        <v>0</v>
      </c>
      <c r="W343" s="51">
        <v>1.7021000000000001E-2</v>
      </c>
      <c r="X343" s="51">
        <v>0</v>
      </c>
      <c r="Y343" s="51">
        <v>0</v>
      </c>
      <c r="Z343" s="51">
        <v>0</v>
      </c>
      <c r="AA343" s="51">
        <v>0</v>
      </c>
    </row>
    <row r="344" spans="7:27" x14ac:dyDescent="0.25">
      <c r="G344" s="18">
        <v>15</v>
      </c>
      <c r="H344" s="51">
        <v>0</v>
      </c>
      <c r="I344" s="51">
        <v>0</v>
      </c>
      <c r="J344" s="51">
        <v>0</v>
      </c>
      <c r="K344" s="51">
        <v>0</v>
      </c>
      <c r="L344" s="51">
        <v>8.6490000000000004E-3</v>
      </c>
      <c r="M344" s="51">
        <v>0</v>
      </c>
      <c r="N344" s="51">
        <v>0</v>
      </c>
      <c r="O344" s="51">
        <v>0</v>
      </c>
      <c r="P344" s="51">
        <v>3.3333000000000002E-2</v>
      </c>
      <c r="Q344" s="51">
        <v>0</v>
      </c>
      <c r="R344" s="51">
        <v>0</v>
      </c>
      <c r="S344" s="51">
        <v>0</v>
      </c>
      <c r="T344" s="51">
        <v>0</v>
      </c>
      <c r="U344" s="51">
        <v>0</v>
      </c>
      <c r="V344" s="51">
        <v>3.3333000000000002E-2</v>
      </c>
      <c r="W344" s="51">
        <v>0</v>
      </c>
      <c r="X344" s="51">
        <v>0</v>
      </c>
      <c r="Y344" s="51">
        <v>0</v>
      </c>
      <c r="Z344" s="51">
        <v>0</v>
      </c>
      <c r="AA344" s="51">
        <v>0</v>
      </c>
    </row>
    <row r="345" spans="7:27" x14ac:dyDescent="0.25">
      <c r="G345" s="18">
        <v>16</v>
      </c>
      <c r="H345" s="51">
        <v>0</v>
      </c>
      <c r="I345" s="51">
        <v>0</v>
      </c>
      <c r="J345" s="51">
        <v>0</v>
      </c>
      <c r="K345" s="51">
        <v>0</v>
      </c>
      <c r="L345" s="51">
        <v>2.2856999999999999E-2</v>
      </c>
      <c r="M345" s="51">
        <v>0</v>
      </c>
      <c r="N345" s="51">
        <v>0</v>
      </c>
      <c r="O345" s="51">
        <v>0</v>
      </c>
      <c r="P345" s="51">
        <v>3.3333000000000002E-2</v>
      </c>
      <c r="Q345" s="51">
        <v>0</v>
      </c>
      <c r="R345" s="51">
        <v>0</v>
      </c>
      <c r="S345" s="51">
        <v>1.9753E-2</v>
      </c>
      <c r="T345" s="51">
        <v>1.2121E-2</v>
      </c>
      <c r="U345" s="51">
        <v>1.7021000000000001E-2</v>
      </c>
      <c r="V345" s="51">
        <v>0</v>
      </c>
      <c r="W345" s="51">
        <v>3.3333000000000002E-2</v>
      </c>
      <c r="X345" s="51">
        <v>0</v>
      </c>
      <c r="Y345" s="51">
        <v>0</v>
      </c>
      <c r="Z345" s="51">
        <v>0</v>
      </c>
      <c r="AA345" s="51">
        <v>0</v>
      </c>
    </row>
    <row r="346" spans="7:27" x14ac:dyDescent="0.25">
      <c r="G346" s="18">
        <v>17</v>
      </c>
      <c r="H346" s="51">
        <v>0</v>
      </c>
      <c r="I346" s="51">
        <v>0</v>
      </c>
      <c r="J346" s="51">
        <v>0</v>
      </c>
      <c r="K346" s="51">
        <v>0</v>
      </c>
      <c r="L346" s="51">
        <v>0</v>
      </c>
      <c r="M346" s="51">
        <v>0</v>
      </c>
      <c r="N346" s="51">
        <v>0</v>
      </c>
      <c r="O346" s="51">
        <v>0</v>
      </c>
      <c r="P346" s="51">
        <v>0</v>
      </c>
      <c r="Q346" s="51">
        <v>0</v>
      </c>
      <c r="R346" s="51">
        <v>0</v>
      </c>
      <c r="S346" s="51">
        <v>0</v>
      </c>
      <c r="T346" s="51">
        <v>1.0810999999999999E-2</v>
      </c>
      <c r="U346" s="51">
        <v>0</v>
      </c>
      <c r="V346" s="51">
        <v>0</v>
      </c>
      <c r="W346" s="51">
        <v>0</v>
      </c>
      <c r="X346" s="51">
        <v>3.3333000000000002E-2</v>
      </c>
      <c r="Y346" s="51">
        <v>0</v>
      </c>
      <c r="Z346" s="51">
        <v>0</v>
      </c>
      <c r="AA346" s="51">
        <v>2.1621999999999999E-2</v>
      </c>
    </row>
    <row r="347" spans="7:27" x14ac:dyDescent="0.25">
      <c r="G347" s="18">
        <v>18</v>
      </c>
      <c r="H347" s="51">
        <v>1.3332999999999999E-2</v>
      </c>
      <c r="I347" s="51">
        <v>6.3749999999999996E-3</v>
      </c>
      <c r="J347" s="51">
        <v>0</v>
      </c>
      <c r="K347" s="51">
        <v>0</v>
      </c>
      <c r="L347" s="51">
        <v>0</v>
      </c>
      <c r="M347" s="51">
        <v>1.2500000000000001E-2</v>
      </c>
      <c r="N347" s="51">
        <v>0</v>
      </c>
      <c r="O347" s="51">
        <v>0</v>
      </c>
      <c r="P347" s="51">
        <v>0</v>
      </c>
      <c r="Q347" s="51">
        <v>0</v>
      </c>
      <c r="R347" s="51">
        <v>0</v>
      </c>
      <c r="S347" s="51">
        <v>0</v>
      </c>
      <c r="T347" s="51">
        <v>0</v>
      </c>
      <c r="U347" s="51">
        <v>0</v>
      </c>
      <c r="V347" s="51">
        <v>0</v>
      </c>
      <c r="W347" s="51">
        <v>0</v>
      </c>
      <c r="X347" s="51">
        <v>0</v>
      </c>
      <c r="Y347" s="51">
        <v>3.3333000000000002E-2</v>
      </c>
      <c r="Z347" s="51">
        <v>9.8160000000000001E-3</v>
      </c>
      <c r="AA347" s="51">
        <v>0</v>
      </c>
    </row>
    <row r="348" spans="7:27" x14ac:dyDescent="0.25">
      <c r="G348" s="18">
        <v>19</v>
      </c>
      <c r="H348" s="51">
        <v>0</v>
      </c>
      <c r="I348" s="51">
        <v>0</v>
      </c>
      <c r="J348" s="51">
        <v>0</v>
      </c>
      <c r="K348" s="51">
        <v>7.0179999999999999E-3</v>
      </c>
      <c r="L348" s="51">
        <v>0</v>
      </c>
      <c r="M348" s="51">
        <v>0</v>
      </c>
      <c r="N348" s="51">
        <v>0</v>
      </c>
      <c r="O348" s="51">
        <v>0</v>
      </c>
      <c r="P348" s="51">
        <v>0</v>
      </c>
      <c r="Q348" s="51">
        <v>0</v>
      </c>
      <c r="R348" s="51">
        <v>0</v>
      </c>
      <c r="S348" s="51">
        <v>1.0458E-2</v>
      </c>
      <c r="T348" s="51">
        <v>0</v>
      </c>
      <c r="U348" s="51">
        <v>0</v>
      </c>
      <c r="V348" s="51">
        <v>0</v>
      </c>
      <c r="W348" s="51">
        <v>0</v>
      </c>
      <c r="X348" s="51">
        <v>0</v>
      </c>
      <c r="Y348" s="51">
        <v>9.8160000000000001E-3</v>
      </c>
      <c r="Z348" s="51">
        <v>3.3333000000000002E-2</v>
      </c>
      <c r="AA348" s="51">
        <v>0</v>
      </c>
    </row>
    <row r="349" spans="7:27" ht="15.75" thickBot="1" x14ac:dyDescent="0.3">
      <c r="G349" s="19">
        <v>20</v>
      </c>
      <c r="H349" s="51">
        <v>0</v>
      </c>
      <c r="I349" s="51">
        <v>8.0400000000000003E-3</v>
      </c>
      <c r="J349" s="51">
        <v>0</v>
      </c>
      <c r="K349" s="51">
        <v>0</v>
      </c>
      <c r="L349" s="51">
        <v>0</v>
      </c>
      <c r="M349" s="51">
        <v>0</v>
      </c>
      <c r="N349" s="51">
        <v>0</v>
      </c>
      <c r="O349" s="51">
        <v>0</v>
      </c>
      <c r="P349" s="51">
        <v>0</v>
      </c>
      <c r="Q349" s="51">
        <v>4.5199999999999997E-3</v>
      </c>
      <c r="R349" s="51">
        <v>0</v>
      </c>
      <c r="S349" s="51">
        <v>0</v>
      </c>
      <c r="T349" s="51">
        <v>0</v>
      </c>
      <c r="U349" s="51">
        <v>0</v>
      </c>
      <c r="V349" s="51">
        <v>0</v>
      </c>
      <c r="W349" s="51">
        <v>0</v>
      </c>
      <c r="X349" s="51">
        <v>2.1621999999999999E-2</v>
      </c>
      <c r="Y349" s="51">
        <v>0</v>
      </c>
      <c r="Z349" s="51">
        <v>0</v>
      </c>
      <c r="AA349" s="51">
        <v>3.3333000000000002E-2</v>
      </c>
    </row>
    <row r="350" spans="7:27" x14ac:dyDescent="0.25">
      <c r="H350" t="s">
        <v>59</v>
      </c>
    </row>
    <row r="352" spans="7:27" ht="15.75" thickBot="1" x14ac:dyDescent="0.3">
      <c r="H352" s="1" t="s">
        <v>49</v>
      </c>
    </row>
    <row r="353" spans="7:27" ht="15.75" thickBot="1" x14ac:dyDescent="0.3">
      <c r="H353" s="16">
        <v>1</v>
      </c>
      <c r="I353" s="20">
        <v>2</v>
      </c>
      <c r="J353" s="21">
        <v>3</v>
      </c>
      <c r="K353" s="21">
        <v>4</v>
      </c>
      <c r="L353" s="21">
        <v>5</v>
      </c>
      <c r="M353" s="21">
        <v>6</v>
      </c>
      <c r="N353" s="21">
        <v>7</v>
      </c>
      <c r="O353" s="21">
        <v>8</v>
      </c>
      <c r="P353" s="21">
        <v>9</v>
      </c>
      <c r="Q353" s="21">
        <v>10</v>
      </c>
      <c r="R353" s="21">
        <v>11</v>
      </c>
      <c r="S353" s="21">
        <v>12</v>
      </c>
      <c r="T353" s="21">
        <v>13</v>
      </c>
      <c r="U353" s="21">
        <v>14</v>
      </c>
      <c r="V353" s="21">
        <v>15</v>
      </c>
      <c r="W353" s="21">
        <v>16</v>
      </c>
      <c r="X353" s="21">
        <v>17</v>
      </c>
      <c r="Y353" s="21">
        <v>18</v>
      </c>
      <c r="Z353" s="21">
        <v>19</v>
      </c>
      <c r="AA353" s="22">
        <v>20</v>
      </c>
    </row>
    <row r="354" spans="7:27" x14ac:dyDescent="0.25">
      <c r="G354" s="23">
        <v>1</v>
      </c>
      <c r="H354" s="51">
        <v>3.3333000000000002E-2</v>
      </c>
      <c r="I354" s="51">
        <v>1.9708E-2</v>
      </c>
      <c r="J354" s="51">
        <v>3.4945999999999998E-2</v>
      </c>
      <c r="K354" s="51">
        <v>3.9392999999999997E-2</v>
      </c>
      <c r="L354" s="51">
        <v>3.0592000000000001E-2</v>
      </c>
      <c r="M354" s="51">
        <v>2.5832999999999998E-2</v>
      </c>
      <c r="N354" s="51">
        <v>4.0515000000000002E-2</v>
      </c>
      <c r="O354" s="51">
        <v>4.3615000000000001E-2</v>
      </c>
      <c r="P354" s="51">
        <v>3.8413000000000003E-2</v>
      </c>
      <c r="Q354" s="51">
        <v>3.2267999999999998E-2</v>
      </c>
      <c r="R354" s="51">
        <v>3.3333000000000002E-2</v>
      </c>
      <c r="S354" s="51">
        <v>2.1918E-2</v>
      </c>
      <c r="T354" s="51">
        <v>3.0165000000000001E-2</v>
      </c>
      <c r="U354" s="51">
        <v>4.1050000000000003E-2</v>
      </c>
      <c r="V354" s="51">
        <v>3.9240999999999998E-2</v>
      </c>
      <c r="W354" s="51">
        <v>4.2286999999999998E-2</v>
      </c>
      <c r="X354" s="51">
        <v>4.0975999999999999E-2</v>
      </c>
      <c r="Y354" s="51">
        <v>1.3332999999999999E-2</v>
      </c>
      <c r="Z354" s="51">
        <v>3.2375000000000001E-2</v>
      </c>
      <c r="AA354" s="51">
        <v>2.7747999999999998E-2</v>
      </c>
    </row>
    <row r="355" spans="7:27" x14ac:dyDescent="0.25">
      <c r="G355" s="17">
        <v>2</v>
      </c>
      <c r="H355" s="51">
        <v>1.9708E-2</v>
      </c>
      <c r="I355" s="51">
        <v>3.3333000000000002E-2</v>
      </c>
      <c r="J355" s="51">
        <v>1.5238E-2</v>
      </c>
      <c r="K355" s="51">
        <v>2.3207999999999999E-2</v>
      </c>
      <c r="L355" s="51">
        <v>1.0884E-2</v>
      </c>
      <c r="M355" s="51">
        <v>1.8874999999999999E-2</v>
      </c>
      <c r="N355" s="51">
        <v>2.0806999999999999E-2</v>
      </c>
      <c r="O355" s="51">
        <v>2.3907000000000001E-2</v>
      </c>
      <c r="P355" s="51">
        <v>3.0438E-2</v>
      </c>
      <c r="Q355" s="51">
        <v>1.256E-2</v>
      </c>
      <c r="R355" s="51">
        <v>2.3571999999999999E-2</v>
      </c>
      <c r="S355" s="51">
        <v>2.6648000000000002E-2</v>
      </c>
      <c r="T355" s="51">
        <v>1.0458E-2</v>
      </c>
      <c r="U355" s="51">
        <v>2.1342E-2</v>
      </c>
      <c r="V355" s="51">
        <v>1.9532999999999998E-2</v>
      </c>
      <c r="W355" s="51">
        <v>2.2578999999999998E-2</v>
      </c>
      <c r="X355" s="51">
        <v>2.1267999999999999E-2</v>
      </c>
      <c r="Y355" s="51">
        <v>6.3749999999999996E-3</v>
      </c>
      <c r="Z355" s="51">
        <v>1.619E-2</v>
      </c>
      <c r="AA355" s="51">
        <v>8.0400000000000003E-3</v>
      </c>
    </row>
    <row r="356" spans="7:27" x14ac:dyDescent="0.25">
      <c r="G356" s="18">
        <v>3</v>
      </c>
      <c r="H356" s="51">
        <v>3.4945999999999998E-2</v>
      </c>
      <c r="I356" s="51">
        <v>1.5238E-2</v>
      </c>
      <c r="J356" s="51">
        <v>3.3333000000000002E-2</v>
      </c>
      <c r="K356" s="51">
        <v>3.8446000000000001E-2</v>
      </c>
      <c r="L356" s="51">
        <v>3.3646000000000002E-2</v>
      </c>
      <c r="M356" s="51">
        <v>3.4112999999999997E-2</v>
      </c>
      <c r="N356" s="51">
        <v>3.6045000000000001E-2</v>
      </c>
      <c r="O356" s="51">
        <v>3.9146E-2</v>
      </c>
      <c r="P356" s="51">
        <v>4.5676000000000001E-2</v>
      </c>
      <c r="Q356" s="51">
        <v>2.7798E-2</v>
      </c>
      <c r="R356" s="51">
        <v>3.8809999999999997E-2</v>
      </c>
      <c r="S356" s="51">
        <v>4.1886E-2</v>
      </c>
      <c r="T356" s="51">
        <v>2.5696E-2</v>
      </c>
      <c r="U356" s="51">
        <v>2.3188E-2</v>
      </c>
      <c r="V356" s="51">
        <v>4.2294999999999999E-2</v>
      </c>
      <c r="W356" s="51">
        <v>3.7817000000000003E-2</v>
      </c>
      <c r="X356" s="51">
        <v>3.6505999999999997E-2</v>
      </c>
      <c r="Y356" s="51">
        <v>2.1613E-2</v>
      </c>
      <c r="Z356" s="51">
        <v>3.1428999999999999E-2</v>
      </c>
      <c r="AA356" s="51">
        <v>2.3278E-2</v>
      </c>
    </row>
    <row r="357" spans="7:27" x14ac:dyDescent="0.25">
      <c r="G357" s="18">
        <v>4</v>
      </c>
      <c r="H357" s="51">
        <v>3.9392999999999997E-2</v>
      </c>
      <c r="I357" s="51">
        <v>2.3207999999999999E-2</v>
      </c>
      <c r="J357" s="51">
        <v>3.8446000000000001E-2</v>
      </c>
      <c r="K357" s="51">
        <v>3.3333000000000002E-2</v>
      </c>
      <c r="L357" s="51">
        <v>3.4091999999999997E-2</v>
      </c>
      <c r="M357" s="51">
        <v>2.9333000000000001E-2</v>
      </c>
      <c r="N357" s="51">
        <v>4.4014999999999999E-2</v>
      </c>
      <c r="O357" s="51">
        <v>4.0501000000000002E-2</v>
      </c>
      <c r="P357" s="51">
        <v>3.397E-2</v>
      </c>
      <c r="Q357" s="51">
        <v>3.5768000000000001E-2</v>
      </c>
      <c r="R357" s="51">
        <v>3.3333000000000002E-2</v>
      </c>
      <c r="S357" s="51">
        <v>1.7475000000000001E-2</v>
      </c>
      <c r="T357" s="51">
        <v>3.3666000000000001E-2</v>
      </c>
      <c r="U357" s="51">
        <v>4.4549999999999999E-2</v>
      </c>
      <c r="V357" s="51">
        <v>4.2741000000000001E-2</v>
      </c>
      <c r="W357" s="51">
        <v>3.7227999999999997E-2</v>
      </c>
      <c r="X357" s="51">
        <v>4.4476000000000002E-2</v>
      </c>
      <c r="Y357" s="51">
        <v>1.6833000000000001E-2</v>
      </c>
      <c r="Z357" s="51">
        <v>7.0179999999999999E-3</v>
      </c>
      <c r="AA357" s="51">
        <v>3.1248000000000001E-2</v>
      </c>
    </row>
    <row r="358" spans="7:27" x14ac:dyDescent="0.25">
      <c r="G358" s="18">
        <v>5</v>
      </c>
      <c r="H358" s="51">
        <v>3.0592000000000001E-2</v>
      </c>
      <c r="I358" s="51">
        <v>1.0884E-2</v>
      </c>
      <c r="J358" s="51">
        <v>3.3646000000000002E-2</v>
      </c>
      <c r="K358" s="51">
        <v>3.4091999999999997E-2</v>
      </c>
      <c r="L358" s="51">
        <v>3.3333000000000002E-2</v>
      </c>
      <c r="M358" s="51">
        <v>2.9759000000000001E-2</v>
      </c>
      <c r="N358" s="51">
        <v>3.1691999999999998E-2</v>
      </c>
      <c r="O358" s="51">
        <v>2.1918E-2</v>
      </c>
      <c r="P358" s="51">
        <v>2.8448000000000001E-2</v>
      </c>
      <c r="Q358" s="51">
        <v>2.3444E-2</v>
      </c>
      <c r="R358" s="51">
        <v>3.4457000000000002E-2</v>
      </c>
      <c r="S358" s="51">
        <v>3.7532000000000003E-2</v>
      </c>
      <c r="T358" s="51">
        <v>2.1342E-2</v>
      </c>
      <c r="U358" s="51">
        <v>1.0458E-2</v>
      </c>
      <c r="V358" s="51">
        <v>8.6490000000000004E-3</v>
      </c>
      <c r="W358" s="51">
        <v>2.2856999999999999E-2</v>
      </c>
      <c r="X358" s="51">
        <v>3.2153000000000001E-2</v>
      </c>
      <c r="Y358" s="51">
        <v>1.7259E-2</v>
      </c>
      <c r="Z358" s="51">
        <v>2.7074999999999998E-2</v>
      </c>
      <c r="AA358" s="51">
        <v>1.8925000000000001E-2</v>
      </c>
    </row>
    <row r="359" spans="7:27" x14ac:dyDescent="0.25">
      <c r="G359" s="18">
        <v>6</v>
      </c>
      <c r="H359" s="51">
        <v>2.5832999999999998E-2</v>
      </c>
      <c r="I359" s="51">
        <v>1.8874999999999999E-2</v>
      </c>
      <c r="J359" s="51">
        <v>3.4112999999999997E-2</v>
      </c>
      <c r="K359" s="51">
        <v>2.9333000000000001E-2</v>
      </c>
      <c r="L359" s="51">
        <v>2.9759000000000001E-2</v>
      </c>
      <c r="M359" s="51">
        <v>3.3333000000000002E-2</v>
      </c>
      <c r="N359" s="51">
        <v>3.9682000000000002E-2</v>
      </c>
      <c r="O359" s="51">
        <v>4.2782000000000001E-2</v>
      </c>
      <c r="P359" s="51">
        <v>4.9313000000000003E-2</v>
      </c>
      <c r="Q359" s="51">
        <v>3.1433999999999997E-2</v>
      </c>
      <c r="R359" s="51">
        <v>4.2446999999999999E-2</v>
      </c>
      <c r="S359" s="51">
        <v>3.2772999999999997E-2</v>
      </c>
      <c r="T359" s="51">
        <v>2.9332E-2</v>
      </c>
      <c r="U359" s="51">
        <v>4.0216000000000002E-2</v>
      </c>
      <c r="V359" s="51">
        <v>3.8407999999999998E-2</v>
      </c>
      <c r="W359" s="51">
        <v>4.1452999999999997E-2</v>
      </c>
      <c r="X359" s="51">
        <v>4.0142999999999998E-2</v>
      </c>
      <c r="Y359" s="51">
        <v>1.2500000000000001E-2</v>
      </c>
      <c r="Z359" s="51">
        <v>2.2315999999999999E-2</v>
      </c>
      <c r="AA359" s="51">
        <v>2.6915000000000001E-2</v>
      </c>
    </row>
    <row r="360" spans="7:27" x14ac:dyDescent="0.25">
      <c r="G360" s="18">
        <v>7</v>
      </c>
      <c r="H360" s="51">
        <v>4.0515000000000002E-2</v>
      </c>
      <c r="I360" s="51">
        <v>2.0806999999999999E-2</v>
      </c>
      <c r="J360" s="51">
        <v>3.6045000000000001E-2</v>
      </c>
      <c r="K360" s="51">
        <v>4.4014999999999999E-2</v>
      </c>
      <c r="L360" s="51">
        <v>3.1691999999999998E-2</v>
      </c>
      <c r="M360" s="51">
        <v>3.9682000000000002E-2</v>
      </c>
      <c r="N360" s="51">
        <v>3.3333000000000002E-2</v>
      </c>
      <c r="O360" s="51">
        <v>1.9595000000000001E-2</v>
      </c>
      <c r="P360" s="51">
        <v>2.6126E-2</v>
      </c>
      <c r="Q360" s="51">
        <v>8.2470000000000009E-3</v>
      </c>
      <c r="R360" s="51">
        <v>4.4380000000000003E-2</v>
      </c>
      <c r="S360" s="51">
        <v>4.7454999999999997E-2</v>
      </c>
      <c r="T360" s="51">
        <v>3.1265000000000001E-2</v>
      </c>
      <c r="U360" s="51">
        <v>4.2148999999999999E-2</v>
      </c>
      <c r="V360" s="51">
        <v>4.0340000000000001E-2</v>
      </c>
      <c r="W360" s="51">
        <v>4.3386000000000001E-2</v>
      </c>
      <c r="X360" s="51">
        <v>3.4389000000000003E-2</v>
      </c>
      <c r="Y360" s="51">
        <v>2.7182000000000001E-2</v>
      </c>
      <c r="Z360" s="51">
        <v>3.6998000000000003E-2</v>
      </c>
      <c r="AA360" s="51">
        <v>1.2767000000000001E-2</v>
      </c>
    </row>
    <row r="361" spans="7:27" x14ac:dyDescent="0.25">
      <c r="G361" s="18">
        <v>8</v>
      </c>
      <c r="H361" s="51">
        <v>4.3615000000000001E-2</v>
      </c>
      <c r="I361" s="51">
        <v>2.3907000000000001E-2</v>
      </c>
      <c r="J361" s="51">
        <v>3.9146E-2</v>
      </c>
      <c r="K361" s="51">
        <v>4.0501000000000002E-2</v>
      </c>
      <c r="L361" s="51">
        <v>2.1918E-2</v>
      </c>
      <c r="M361" s="51">
        <v>4.2782000000000001E-2</v>
      </c>
      <c r="N361" s="51">
        <v>1.9595000000000001E-2</v>
      </c>
      <c r="O361" s="51">
        <v>3.3333000000000002E-2</v>
      </c>
      <c r="P361" s="51">
        <v>6.5310000000000003E-3</v>
      </c>
      <c r="Q361" s="51">
        <v>1.1348E-2</v>
      </c>
      <c r="R361" s="51">
        <v>4.3538E-2</v>
      </c>
      <c r="S361" s="51">
        <v>2.3025E-2</v>
      </c>
      <c r="T361" s="51">
        <v>3.4365E-2</v>
      </c>
      <c r="U361" s="51">
        <v>3.2375000000000001E-2</v>
      </c>
      <c r="V361" s="51">
        <v>3.0565999999999999E-2</v>
      </c>
      <c r="W361" s="51">
        <v>4.4775000000000002E-2</v>
      </c>
      <c r="X361" s="51">
        <v>3.7489000000000001E-2</v>
      </c>
      <c r="Y361" s="51">
        <v>3.0282E-2</v>
      </c>
      <c r="Z361" s="51">
        <v>3.3482999999999999E-2</v>
      </c>
      <c r="AA361" s="51">
        <v>1.5866999999999999E-2</v>
      </c>
    </row>
    <row r="362" spans="7:27" x14ac:dyDescent="0.25">
      <c r="G362" s="18">
        <v>9</v>
      </c>
      <c r="H362" s="51">
        <v>3.8413000000000003E-2</v>
      </c>
      <c r="I362" s="51">
        <v>3.0438E-2</v>
      </c>
      <c r="J362" s="51">
        <v>4.5676000000000001E-2</v>
      </c>
      <c r="K362" s="51">
        <v>3.397E-2</v>
      </c>
      <c r="L362" s="51">
        <v>2.8448000000000001E-2</v>
      </c>
      <c r="M362" s="51">
        <v>4.9313000000000003E-2</v>
      </c>
      <c r="N362" s="51">
        <v>2.6126E-2</v>
      </c>
      <c r="O362" s="51">
        <v>6.5310000000000003E-3</v>
      </c>
      <c r="P362" s="51">
        <v>3.3333000000000002E-2</v>
      </c>
      <c r="Q362" s="51">
        <v>1.7878000000000002E-2</v>
      </c>
      <c r="R362" s="51">
        <v>3.7007999999999999E-2</v>
      </c>
      <c r="S362" s="51">
        <v>1.6494999999999999E-2</v>
      </c>
      <c r="T362" s="51">
        <v>4.0896000000000002E-2</v>
      </c>
      <c r="U362" s="51">
        <v>3.8906000000000003E-2</v>
      </c>
      <c r="V362" s="51">
        <v>3.3333000000000002E-2</v>
      </c>
      <c r="W362" s="51">
        <v>3.3333000000000002E-2</v>
      </c>
      <c r="X362" s="51">
        <v>4.4019999999999997E-2</v>
      </c>
      <c r="Y362" s="51">
        <v>3.6812999999999999E-2</v>
      </c>
      <c r="Z362" s="51">
        <v>2.6952E-2</v>
      </c>
      <c r="AA362" s="51">
        <v>2.2398000000000001E-2</v>
      </c>
    </row>
    <row r="363" spans="7:27" x14ac:dyDescent="0.25">
      <c r="G363" s="18">
        <v>10</v>
      </c>
      <c r="H363" s="51">
        <v>3.2267999999999998E-2</v>
      </c>
      <c r="I363" s="51">
        <v>1.256E-2</v>
      </c>
      <c r="J363" s="51">
        <v>2.7798E-2</v>
      </c>
      <c r="K363" s="51">
        <v>3.5768000000000001E-2</v>
      </c>
      <c r="L363" s="51">
        <v>2.3444E-2</v>
      </c>
      <c r="M363" s="51">
        <v>3.1433999999999997E-2</v>
      </c>
      <c r="N363" s="51">
        <v>8.2470000000000009E-3</v>
      </c>
      <c r="O363" s="51">
        <v>1.1348E-2</v>
      </c>
      <c r="P363" s="51">
        <v>1.7878000000000002E-2</v>
      </c>
      <c r="Q363" s="51">
        <v>3.3333000000000002E-2</v>
      </c>
      <c r="R363" s="51">
        <v>3.6131999999999997E-2</v>
      </c>
      <c r="S363" s="51">
        <v>3.9208E-2</v>
      </c>
      <c r="T363" s="51">
        <v>2.3016999999999999E-2</v>
      </c>
      <c r="U363" s="51">
        <v>3.3902000000000002E-2</v>
      </c>
      <c r="V363" s="51">
        <v>3.2093000000000003E-2</v>
      </c>
      <c r="W363" s="51">
        <v>3.5138999999999997E-2</v>
      </c>
      <c r="X363" s="51">
        <v>2.6141000000000001E-2</v>
      </c>
      <c r="Y363" s="51">
        <v>1.8933999999999999E-2</v>
      </c>
      <c r="Z363" s="51">
        <v>2.8750000000000001E-2</v>
      </c>
      <c r="AA363" s="51">
        <v>4.5199999999999997E-3</v>
      </c>
    </row>
    <row r="364" spans="7:27" x14ac:dyDescent="0.25">
      <c r="G364" s="18">
        <v>11</v>
      </c>
      <c r="H364" s="51">
        <v>3.3333000000000002E-2</v>
      </c>
      <c r="I364" s="51">
        <v>2.3571999999999999E-2</v>
      </c>
      <c r="J364" s="51">
        <v>3.8809999999999997E-2</v>
      </c>
      <c r="K364" s="51">
        <v>3.3333000000000002E-2</v>
      </c>
      <c r="L364" s="51">
        <v>3.4457000000000002E-2</v>
      </c>
      <c r="M364" s="51">
        <v>4.2446999999999999E-2</v>
      </c>
      <c r="N364" s="51">
        <v>4.4380000000000003E-2</v>
      </c>
      <c r="O364" s="51">
        <v>4.3538E-2</v>
      </c>
      <c r="P364" s="51">
        <v>3.7007999999999999E-2</v>
      </c>
      <c r="Q364" s="51">
        <v>3.6131999999999997E-2</v>
      </c>
      <c r="R364" s="51">
        <v>3.3333000000000002E-2</v>
      </c>
      <c r="S364" s="51">
        <v>2.0513E-2</v>
      </c>
      <c r="T364" s="51">
        <v>1.3115E-2</v>
      </c>
      <c r="U364" s="51">
        <v>4.2257000000000003E-2</v>
      </c>
      <c r="V364" s="51">
        <v>4.3104999999999997E-2</v>
      </c>
      <c r="W364" s="51">
        <v>2.5236000000000001E-2</v>
      </c>
      <c r="X364" s="51">
        <v>2.3925999999999999E-2</v>
      </c>
      <c r="Y364" s="51">
        <v>2.9947000000000001E-2</v>
      </c>
      <c r="Z364" s="51">
        <v>3.0970000000000001E-2</v>
      </c>
      <c r="AA364" s="51">
        <v>3.1612000000000001E-2</v>
      </c>
    </row>
    <row r="365" spans="7:27" x14ac:dyDescent="0.25">
      <c r="G365" s="18">
        <v>12</v>
      </c>
      <c r="H365" s="51">
        <v>2.1918E-2</v>
      </c>
      <c r="I365" s="51">
        <v>2.6648000000000002E-2</v>
      </c>
      <c r="J365" s="51">
        <v>4.1886E-2</v>
      </c>
      <c r="K365" s="51">
        <v>1.7475000000000001E-2</v>
      </c>
      <c r="L365" s="51">
        <v>3.7532000000000003E-2</v>
      </c>
      <c r="M365" s="51">
        <v>3.2772999999999997E-2</v>
      </c>
      <c r="N365" s="51">
        <v>4.7454999999999997E-2</v>
      </c>
      <c r="O365" s="51">
        <v>2.3025E-2</v>
      </c>
      <c r="P365" s="51">
        <v>1.6494999999999999E-2</v>
      </c>
      <c r="Q365" s="51">
        <v>3.9208E-2</v>
      </c>
      <c r="R365" s="51">
        <v>2.0513E-2</v>
      </c>
      <c r="S365" s="51">
        <v>3.3333000000000002E-2</v>
      </c>
      <c r="T365" s="51">
        <v>3.1874E-2</v>
      </c>
      <c r="U365" s="51">
        <v>3.6774000000000001E-2</v>
      </c>
      <c r="V365" s="51">
        <v>4.6181E-2</v>
      </c>
      <c r="W365" s="51">
        <v>1.9753E-2</v>
      </c>
      <c r="X365" s="51">
        <v>4.2685000000000001E-2</v>
      </c>
      <c r="Y365" s="51">
        <v>2.0272999999999999E-2</v>
      </c>
      <c r="Z365" s="51">
        <v>1.0458E-2</v>
      </c>
      <c r="AA365" s="51">
        <v>3.4687999999999997E-2</v>
      </c>
    </row>
    <row r="366" spans="7:27" x14ac:dyDescent="0.25">
      <c r="G366" s="18">
        <v>13</v>
      </c>
      <c r="H366" s="51">
        <v>3.0165000000000001E-2</v>
      </c>
      <c r="I366" s="51">
        <v>1.0458E-2</v>
      </c>
      <c r="J366" s="51">
        <v>2.5696E-2</v>
      </c>
      <c r="K366" s="51">
        <v>3.3666000000000001E-2</v>
      </c>
      <c r="L366" s="51">
        <v>2.1342E-2</v>
      </c>
      <c r="M366" s="51">
        <v>2.9332E-2</v>
      </c>
      <c r="N366" s="51">
        <v>3.1265000000000001E-2</v>
      </c>
      <c r="O366" s="51">
        <v>3.4365E-2</v>
      </c>
      <c r="P366" s="51">
        <v>4.0896000000000002E-2</v>
      </c>
      <c r="Q366" s="51">
        <v>2.3016999999999999E-2</v>
      </c>
      <c r="R366" s="51">
        <v>1.3115E-2</v>
      </c>
      <c r="S366" s="51">
        <v>3.1874E-2</v>
      </c>
      <c r="T366" s="51">
        <v>3.3333000000000002E-2</v>
      </c>
      <c r="U366" s="51">
        <v>2.9142000000000001E-2</v>
      </c>
      <c r="V366" s="51">
        <v>2.9991E-2</v>
      </c>
      <c r="W366" s="51">
        <v>1.2121E-2</v>
      </c>
      <c r="X366" s="51">
        <v>1.0810999999999999E-2</v>
      </c>
      <c r="Y366" s="51">
        <v>1.6832E-2</v>
      </c>
      <c r="Z366" s="51">
        <v>2.6648000000000002E-2</v>
      </c>
      <c r="AA366" s="51">
        <v>1.8498000000000001E-2</v>
      </c>
    </row>
    <row r="367" spans="7:27" x14ac:dyDescent="0.25">
      <c r="G367" s="18">
        <v>14</v>
      </c>
      <c r="H367" s="51">
        <v>4.1050000000000003E-2</v>
      </c>
      <c r="I367" s="51">
        <v>2.1342E-2</v>
      </c>
      <c r="J367" s="51">
        <v>2.3188E-2</v>
      </c>
      <c r="K367" s="51">
        <v>4.4549999999999999E-2</v>
      </c>
      <c r="L367" s="51">
        <v>1.0458E-2</v>
      </c>
      <c r="M367" s="51">
        <v>4.0216000000000002E-2</v>
      </c>
      <c r="N367" s="51">
        <v>4.2148999999999999E-2</v>
      </c>
      <c r="O367" s="51">
        <v>3.2375000000000001E-2</v>
      </c>
      <c r="P367" s="51">
        <v>3.8906000000000003E-2</v>
      </c>
      <c r="Q367" s="51">
        <v>3.3902000000000002E-2</v>
      </c>
      <c r="R367" s="51">
        <v>4.2257000000000003E-2</v>
      </c>
      <c r="S367" s="51">
        <v>3.6774000000000001E-2</v>
      </c>
      <c r="T367" s="51">
        <v>2.9142000000000001E-2</v>
      </c>
      <c r="U367" s="51">
        <v>3.3333000000000002E-2</v>
      </c>
      <c r="V367" s="51">
        <v>1.9106000000000001E-2</v>
      </c>
      <c r="W367" s="51">
        <v>1.7021000000000001E-2</v>
      </c>
      <c r="X367" s="51">
        <v>3.9953000000000002E-2</v>
      </c>
      <c r="Y367" s="51">
        <v>2.7716000000000001E-2</v>
      </c>
      <c r="Z367" s="51">
        <v>3.7532000000000003E-2</v>
      </c>
      <c r="AA367" s="51">
        <v>2.9381999999999998E-2</v>
      </c>
    </row>
    <row r="368" spans="7:27" x14ac:dyDescent="0.25">
      <c r="G368" s="18">
        <v>15</v>
      </c>
      <c r="H368" s="51">
        <v>3.9240999999999998E-2</v>
      </c>
      <c r="I368" s="51">
        <v>1.9532999999999998E-2</v>
      </c>
      <c r="J368" s="51">
        <v>4.2294999999999999E-2</v>
      </c>
      <c r="K368" s="51">
        <v>4.2741000000000001E-2</v>
      </c>
      <c r="L368" s="51">
        <v>8.6490000000000004E-3</v>
      </c>
      <c r="M368" s="51">
        <v>3.8407999999999998E-2</v>
      </c>
      <c r="N368" s="51">
        <v>4.0340000000000001E-2</v>
      </c>
      <c r="O368" s="51">
        <v>3.0565999999999999E-2</v>
      </c>
      <c r="P368" s="51">
        <v>3.3333000000000002E-2</v>
      </c>
      <c r="Q368" s="51">
        <v>3.2093000000000003E-2</v>
      </c>
      <c r="R368" s="51">
        <v>4.3104999999999997E-2</v>
      </c>
      <c r="S368" s="51">
        <v>4.6181E-2</v>
      </c>
      <c r="T368" s="51">
        <v>2.9991E-2</v>
      </c>
      <c r="U368" s="51">
        <v>1.9106000000000001E-2</v>
      </c>
      <c r="V368" s="51">
        <v>3.3333000000000002E-2</v>
      </c>
      <c r="W368" s="51">
        <v>3.1505999999999999E-2</v>
      </c>
      <c r="X368" s="51">
        <v>4.0800999999999997E-2</v>
      </c>
      <c r="Y368" s="51">
        <v>2.5908E-2</v>
      </c>
      <c r="Z368" s="51">
        <v>3.5722999999999998E-2</v>
      </c>
      <c r="AA368" s="51">
        <v>2.7573E-2</v>
      </c>
    </row>
    <row r="369" spans="7:27" x14ac:dyDescent="0.25">
      <c r="G369" s="18">
        <v>16</v>
      </c>
      <c r="H369" s="51">
        <v>4.2286999999999998E-2</v>
      </c>
      <c r="I369" s="51">
        <v>2.2578999999999998E-2</v>
      </c>
      <c r="J369" s="51">
        <v>3.7817000000000003E-2</v>
      </c>
      <c r="K369" s="51">
        <v>3.7227999999999997E-2</v>
      </c>
      <c r="L369" s="51">
        <v>2.2856999999999999E-2</v>
      </c>
      <c r="M369" s="51">
        <v>4.1452999999999997E-2</v>
      </c>
      <c r="N369" s="51">
        <v>4.3386000000000001E-2</v>
      </c>
      <c r="O369" s="51">
        <v>4.4775000000000002E-2</v>
      </c>
      <c r="P369" s="51">
        <v>3.3333000000000002E-2</v>
      </c>
      <c r="Q369" s="51">
        <v>3.5138999999999997E-2</v>
      </c>
      <c r="R369" s="51">
        <v>2.5236000000000001E-2</v>
      </c>
      <c r="S369" s="51">
        <v>1.9753E-2</v>
      </c>
      <c r="T369" s="51">
        <v>1.2121E-2</v>
      </c>
      <c r="U369" s="51">
        <v>1.7021000000000001E-2</v>
      </c>
      <c r="V369" s="51">
        <v>3.1505999999999999E-2</v>
      </c>
      <c r="W369" s="51">
        <v>3.3333000000000002E-2</v>
      </c>
      <c r="X369" s="51">
        <v>2.2932000000000001E-2</v>
      </c>
      <c r="Y369" s="51">
        <v>2.8953E-2</v>
      </c>
      <c r="Z369" s="51">
        <v>3.0210999999999998E-2</v>
      </c>
      <c r="AA369" s="51">
        <v>3.0619E-2</v>
      </c>
    </row>
    <row r="370" spans="7:27" x14ac:dyDescent="0.25">
      <c r="G370" s="18">
        <v>17</v>
      </c>
      <c r="H370" s="51">
        <v>4.0975999999999999E-2</v>
      </c>
      <c r="I370" s="51">
        <v>2.1267999999999999E-2</v>
      </c>
      <c r="J370" s="51">
        <v>3.6505999999999997E-2</v>
      </c>
      <c r="K370" s="51">
        <v>4.4476000000000002E-2</v>
      </c>
      <c r="L370" s="51">
        <v>3.2153000000000001E-2</v>
      </c>
      <c r="M370" s="51">
        <v>4.0142999999999998E-2</v>
      </c>
      <c r="N370" s="51">
        <v>3.4389000000000003E-2</v>
      </c>
      <c r="O370" s="51">
        <v>3.7489000000000001E-2</v>
      </c>
      <c r="P370" s="51">
        <v>4.4019999999999997E-2</v>
      </c>
      <c r="Q370" s="51">
        <v>2.6141000000000001E-2</v>
      </c>
      <c r="R370" s="51">
        <v>2.3925999999999999E-2</v>
      </c>
      <c r="S370" s="51">
        <v>4.2685000000000001E-2</v>
      </c>
      <c r="T370" s="51">
        <v>1.0810999999999999E-2</v>
      </c>
      <c r="U370" s="51">
        <v>3.9953000000000002E-2</v>
      </c>
      <c r="V370" s="51">
        <v>4.0800999999999997E-2</v>
      </c>
      <c r="W370" s="51">
        <v>2.2932000000000001E-2</v>
      </c>
      <c r="X370" s="51">
        <v>3.3333000000000002E-2</v>
      </c>
      <c r="Y370" s="51">
        <v>2.7643000000000001E-2</v>
      </c>
      <c r="Z370" s="51">
        <v>3.7458999999999999E-2</v>
      </c>
      <c r="AA370" s="51">
        <v>2.1621999999999999E-2</v>
      </c>
    </row>
    <row r="371" spans="7:27" x14ac:dyDescent="0.25">
      <c r="G371" s="18">
        <v>18</v>
      </c>
      <c r="H371" s="51">
        <v>1.3332999999999999E-2</v>
      </c>
      <c r="I371" s="51">
        <v>6.3749999999999996E-3</v>
      </c>
      <c r="J371" s="51">
        <v>2.1613E-2</v>
      </c>
      <c r="K371" s="51">
        <v>1.6833000000000001E-2</v>
      </c>
      <c r="L371" s="51">
        <v>1.7259E-2</v>
      </c>
      <c r="M371" s="51">
        <v>1.2500000000000001E-2</v>
      </c>
      <c r="N371" s="51">
        <v>2.7182000000000001E-2</v>
      </c>
      <c r="O371" s="51">
        <v>3.0282E-2</v>
      </c>
      <c r="P371" s="51">
        <v>3.6812999999999999E-2</v>
      </c>
      <c r="Q371" s="51">
        <v>1.8933999999999999E-2</v>
      </c>
      <c r="R371" s="51">
        <v>2.9947000000000001E-2</v>
      </c>
      <c r="S371" s="51">
        <v>2.0272999999999999E-2</v>
      </c>
      <c r="T371" s="51">
        <v>1.6832E-2</v>
      </c>
      <c r="U371" s="51">
        <v>2.7716000000000001E-2</v>
      </c>
      <c r="V371" s="51">
        <v>2.5908E-2</v>
      </c>
      <c r="W371" s="51">
        <v>2.8953E-2</v>
      </c>
      <c r="X371" s="51">
        <v>2.7643000000000001E-2</v>
      </c>
      <c r="Y371" s="51">
        <v>3.3333000000000002E-2</v>
      </c>
      <c r="Z371" s="51">
        <v>9.8160000000000001E-3</v>
      </c>
      <c r="AA371" s="51">
        <v>1.4415000000000001E-2</v>
      </c>
    </row>
    <row r="372" spans="7:27" x14ac:dyDescent="0.25">
      <c r="G372" s="18">
        <v>19</v>
      </c>
      <c r="H372" s="51">
        <v>3.2375000000000001E-2</v>
      </c>
      <c r="I372" s="51">
        <v>1.619E-2</v>
      </c>
      <c r="J372" s="51">
        <v>3.1428999999999999E-2</v>
      </c>
      <c r="K372" s="51">
        <v>7.0179999999999999E-3</v>
      </c>
      <c r="L372" s="51">
        <v>2.7074999999999998E-2</v>
      </c>
      <c r="M372" s="51">
        <v>2.2315999999999999E-2</v>
      </c>
      <c r="N372" s="51">
        <v>3.6998000000000003E-2</v>
      </c>
      <c r="O372" s="51">
        <v>3.3482999999999999E-2</v>
      </c>
      <c r="P372" s="51">
        <v>2.6952E-2</v>
      </c>
      <c r="Q372" s="51">
        <v>2.8750000000000001E-2</v>
      </c>
      <c r="R372" s="51">
        <v>3.0970000000000001E-2</v>
      </c>
      <c r="S372" s="51">
        <v>1.0458E-2</v>
      </c>
      <c r="T372" s="51">
        <v>2.6648000000000002E-2</v>
      </c>
      <c r="U372" s="51">
        <v>3.7532000000000003E-2</v>
      </c>
      <c r="V372" s="51">
        <v>3.5722999999999998E-2</v>
      </c>
      <c r="W372" s="51">
        <v>3.0210999999999998E-2</v>
      </c>
      <c r="X372" s="51">
        <v>3.7458999999999999E-2</v>
      </c>
      <c r="Y372" s="51">
        <v>9.8160000000000001E-3</v>
      </c>
      <c r="Z372" s="51">
        <v>3.3333000000000002E-2</v>
      </c>
      <c r="AA372" s="51">
        <v>2.4230999999999999E-2</v>
      </c>
    </row>
    <row r="373" spans="7:27" ht="15.75" thickBot="1" x14ac:dyDescent="0.3">
      <c r="G373" s="19">
        <v>20</v>
      </c>
      <c r="H373" s="51">
        <v>2.7747999999999998E-2</v>
      </c>
      <c r="I373" s="51">
        <v>8.0400000000000003E-3</v>
      </c>
      <c r="J373" s="51">
        <v>2.3278E-2</v>
      </c>
      <c r="K373" s="51">
        <v>3.1248000000000001E-2</v>
      </c>
      <c r="L373" s="51">
        <v>1.8925000000000001E-2</v>
      </c>
      <c r="M373" s="51">
        <v>2.6915000000000001E-2</v>
      </c>
      <c r="N373" s="51">
        <v>1.2767000000000001E-2</v>
      </c>
      <c r="O373" s="51">
        <v>1.5866999999999999E-2</v>
      </c>
      <c r="P373" s="51">
        <v>2.2398000000000001E-2</v>
      </c>
      <c r="Q373" s="51">
        <v>4.5199999999999997E-3</v>
      </c>
      <c r="R373" s="51">
        <v>3.1612000000000001E-2</v>
      </c>
      <c r="S373" s="51">
        <v>3.4687999999999997E-2</v>
      </c>
      <c r="T373" s="51">
        <v>1.8498000000000001E-2</v>
      </c>
      <c r="U373" s="51">
        <v>2.9381999999999998E-2</v>
      </c>
      <c r="V373" s="51">
        <v>2.7573E-2</v>
      </c>
      <c r="W373" s="51">
        <v>3.0619E-2</v>
      </c>
      <c r="X373" s="51">
        <v>2.1621999999999999E-2</v>
      </c>
      <c r="Y373" s="51">
        <v>1.4415000000000001E-2</v>
      </c>
      <c r="Z373" s="51">
        <v>2.4230999999999999E-2</v>
      </c>
      <c r="AA373" s="51">
        <v>3.3333000000000002E-2</v>
      </c>
    </row>
    <row r="374" spans="7:27" x14ac:dyDescent="0.25">
      <c r="H374" t="s">
        <v>60</v>
      </c>
    </row>
    <row r="376" spans="7:27" ht="15.75" thickBot="1" x14ac:dyDescent="0.3">
      <c r="H376" s="1" t="s">
        <v>50</v>
      </c>
    </row>
    <row r="377" spans="7:27" ht="15.75" thickBot="1" x14ac:dyDescent="0.3">
      <c r="H377" s="16">
        <v>1</v>
      </c>
      <c r="I377" s="20">
        <v>2</v>
      </c>
      <c r="J377" s="21">
        <v>3</v>
      </c>
      <c r="K377" s="21">
        <v>4</v>
      </c>
      <c r="L377" s="21">
        <v>5</v>
      </c>
      <c r="M377" s="21">
        <v>6</v>
      </c>
      <c r="N377" s="21">
        <v>7</v>
      </c>
      <c r="O377" s="21">
        <v>8</v>
      </c>
      <c r="P377" s="21">
        <v>9</v>
      </c>
      <c r="Q377" s="21">
        <v>10</v>
      </c>
      <c r="R377" s="21">
        <v>11</v>
      </c>
      <c r="S377" s="21">
        <v>12</v>
      </c>
      <c r="T377" s="21">
        <v>13</v>
      </c>
      <c r="U377" s="21">
        <v>14</v>
      </c>
      <c r="V377" s="21">
        <v>15</v>
      </c>
      <c r="W377" s="21">
        <v>16</v>
      </c>
      <c r="X377" s="21">
        <v>17</v>
      </c>
      <c r="Y377" s="21">
        <v>18</v>
      </c>
      <c r="Z377" s="21">
        <v>19</v>
      </c>
      <c r="AA377" s="22">
        <v>20</v>
      </c>
    </row>
    <row r="378" spans="7:27" x14ac:dyDescent="0.25">
      <c r="G378" s="23">
        <v>1</v>
      </c>
      <c r="H378" s="50">
        <v>0.21207999999999999</v>
      </c>
      <c r="I378" s="50">
        <v>0</v>
      </c>
      <c r="J378" s="50">
        <v>0</v>
      </c>
      <c r="K378" s="50">
        <v>0</v>
      </c>
      <c r="L378" s="50">
        <v>0</v>
      </c>
      <c r="M378" s="50">
        <v>0</v>
      </c>
      <c r="N378" s="50">
        <v>0</v>
      </c>
      <c r="O378" s="50">
        <v>0</v>
      </c>
      <c r="P378" s="50">
        <v>0</v>
      </c>
      <c r="Q378" s="50">
        <v>0</v>
      </c>
      <c r="R378" s="50">
        <v>0.21207999999999999</v>
      </c>
      <c r="S378" s="50">
        <v>0.21209700000000001</v>
      </c>
      <c r="T378" s="50">
        <v>0</v>
      </c>
      <c r="U378" s="50">
        <v>0</v>
      </c>
      <c r="V378" s="50">
        <v>0</v>
      </c>
      <c r="W378" s="50">
        <v>0</v>
      </c>
      <c r="X378" s="50">
        <v>0</v>
      </c>
      <c r="Y378" s="50">
        <v>0.21210899999999999</v>
      </c>
      <c r="Z378" s="50">
        <v>0</v>
      </c>
      <c r="AA378" s="50">
        <v>0</v>
      </c>
    </row>
    <row r="379" spans="7:27" x14ac:dyDescent="0.25">
      <c r="G379" s="17">
        <v>2</v>
      </c>
      <c r="H379" s="50">
        <v>0</v>
      </c>
      <c r="I379" s="50">
        <v>0.21207999999999999</v>
      </c>
      <c r="J379" s="50">
        <v>0.21213499999999999</v>
      </c>
      <c r="K379" s="50">
        <v>0</v>
      </c>
      <c r="L379" s="50">
        <v>0.212148</v>
      </c>
      <c r="M379" s="50">
        <v>0</v>
      </c>
      <c r="N379" s="50">
        <v>0</v>
      </c>
      <c r="O379" s="50">
        <v>0</v>
      </c>
      <c r="P379" s="50">
        <v>0</v>
      </c>
      <c r="Q379" s="50">
        <v>0</v>
      </c>
      <c r="R379" s="50">
        <v>0</v>
      </c>
      <c r="S379" s="50">
        <v>0</v>
      </c>
      <c r="T379" s="50">
        <v>0.21215200000000001</v>
      </c>
      <c r="U379" s="50">
        <v>0</v>
      </c>
      <c r="V379" s="50">
        <v>0</v>
      </c>
      <c r="W379" s="50">
        <v>0</v>
      </c>
      <c r="X379" s="50">
        <v>0</v>
      </c>
      <c r="Y379" s="50">
        <v>0.212114</v>
      </c>
      <c r="Z379" s="50">
        <v>0</v>
      </c>
      <c r="AA379" s="50">
        <v>0.21213299999999999</v>
      </c>
    </row>
    <row r="380" spans="7:27" x14ac:dyDescent="0.25">
      <c r="G380" s="18">
        <v>3</v>
      </c>
      <c r="H380" s="50">
        <v>0</v>
      </c>
      <c r="I380" s="50">
        <v>0.21213499999999999</v>
      </c>
      <c r="J380" s="50">
        <v>0.21207999999999999</v>
      </c>
      <c r="K380" s="50">
        <v>0</v>
      </c>
      <c r="L380" s="50">
        <v>0</v>
      </c>
      <c r="M380" s="50">
        <v>0</v>
      </c>
      <c r="N380" s="50">
        <v>0</v>
      </c>
      <c r="O380" s="50">
        <v>0</v>
      </c>
      <c r="P380" s="50">
        <v>0</v>
      </c>
      <c r="Q380" s="50">
        <v>0</v>
      </c>
      <c r="R380" s="50">
        <v>0</v>
      </c>
      <c r="S380" s="50">
        <v>0</v>
      </c>
      <c r="T380" s="50">
        <v>0</v>
      </c>
      <c r="U380" s="50">
        <v>0.212091</v>
      </c>
      <c r="V380" s="50">
        <v>0</v>
      </c>
      <c r="W380" s="50">
        <v>0</v>
      </c>
      <c r="X380" s="50">
        <v>0</v>
      </c>
      <c r="Y380" s="50">
        <v>0</v>
      </c>
      <c r="Z380" s="50">
        <v>0</v>
      </c>
      <c r="AA380" s="50">
        <v>0</v>
      </c>
    </row>
    <row r="381" spans="7:27" x14ac:dyDescent="0.25">
      <c r="G381" s="18">
        <v>4</v>
      </c>
      <c r="H381" s="50">
        <v>0</v>
      </c>
      <c r="I381" s="50">
        <v>0</v>
      </c>
      <c r="J381" s="50">
        <v>0</v>
      </c>
      <c r="K381" s="50">
        <v>0.21207999999999999</v>
      </c>
      <c r="L381" s="50">
        <v>0</v>
      </c>
      <c r="M381" s="50">
        <v>0</v>
      </c>
      <c r="N381" s="50">
        <v>0</v>
      </c>
      <c r="O381" s="50">
        <v>0</v>
      </c>
      <c r="P381" s="50">
        <v>0</v>
      </c>
      <c r="Q381" s="50">
        <v>0</v>
      </c>
      <c r="R381" s="50">
        <v>0.21207999999999999</v>
      </c>
      <c r="S381" s="50">
        <v>0</v>
      </c>
      <c r="T381" s="50">
        <v>0</v>
      </c>
      <c r="U381" s="50">
        <v>0</v>
      </c>
      <c r="V381" s="50">
        <v>0</v>
      </c>
      <c r="W381" s="50">
        <v>0</v>
      </c>
      <c r="X381" s="50">
        <v>0</v>
      </c>
      <c r="Y381" s="50">
        <v>0</v>
      </c>
      <c r="Z381" s="50">
        <v>0.21207500000000001</v>
      </c>
      <c r="AA381" s="50">
        <v>0</v>
      </c>
    </row>
    <row r="382" spans="7:27" x14ac:dyDescent="0.25">
      <c r="G382" s="18">
        <v>5</v>
      </c>
      <c r="H382" s="50">
        <v>0</v>
      </c>
      <c r="I382" s="50">
        <v>0.212148</v>
      </c>
      <c r="J382" s="50">
        <v>0</v>
      </c>
      <c r="K382" s="50">
        <v>0</v>
      </c>
      <c r="L382" s="50">
        <v>0.21207999999999999</v>
      </c>
      <c r="M382" s="50">
        <v>0</v>
      </c>
      <c r="N382" s="50">
        <v>0</v>
      </c>
      <c r="O382" s="50">
        <v>0.212118</v>
      </c>
      <c r="P382" s="50">
        <v>0</v>
      </c>
      <c r="Q382" s="50">
        <v>0</v>
      </c>
      <c r="R382" s="50">
        <v>0</v>
      </c>
      <c r="S382" s="50">
        <v>0</v>
      </c>
      <c r="T382" s="50">
        <v>0</v>
      </c>
      <c r="U382" s="50">
        <v>0.212091</v>
      </c>
      <c r="V382" s="50">
        <v>0.212085</v>
      </c>
      <c r="W382" s="50">
        <v>0.21209</v>
      </c>
      <c r="X382" s="50">
        <v>0</v>
      </c>
      <c r="Y382" s="50">
        <v>0</v>
      </c>
      <c r="Z382" s="50">
        <v>0</v>
      </c>
      <c r="AA382" s="50">
        <v>0</v>
      </c>
    </row>
    <row r="383" spans="7:27" x14ac:dyDescent="0.25">
      <c r="G383" s="18">
        <v>6</v>
      </c>
      <c r="H383" s="50">
        <v>0</v>
      </c>
      <c r="I383" s="50">
        <v>0</v>
      </c>
      <c r="J383" s="50">
        <v>0</v>
      </c>
      <c r="K383" s="50">
        <v>0</v>
      </c>
      <c r="L383" s="50">
        <v>0</v>
      </c>
      <c r="M383" s="50">
        <v>0.21207999999999999</v>
      </c>
      <c r="N383" s="50">
        <v>0</v>
      </c>
      <c r="O383" s="50">
        <v>0</v>
      </c>
      <c r="P383" s="50">
        <v>0</v>
      </c>
      <c r="Q383" s="50">
        <v>0</v>
      </c>
      <c r="R383" s="50">
        <v>0</v>
      </c>
      <c r="S383" s="50">
        <v>0</v>
      </c>
      <c r="T383" s="50">
        <v>0</v>
      </c>
      <c r="U383" s="50">
        <v>0</v>
      </c>
      <c r="V383" s="50">
        <v>0</v>
      </c>
      <c r="W383" s="50">
        <v>0</v>
      </c>
      <c r="X383" s="50">
        <v>0</v>
      </c>
      <c r="Y383" s="50">
        <v>0.212119</v>
      </c>
      <c r="Z383" s="50">
        <v>0</v>
      </c>
      <c r="AA383" s="50">
        <v>0</v>
      </c>
    </row>
    <row r="384" spans="7:27" x14ac:dyDescent="0.25">
      <c r="G384" s="18">
        <v>7</v>
      </c>
      <c r="H384" s="50">
        <v>0</v>
      </c>
      <c r="I384" s="50">
        <v>0</v>
      </c>
      <c r="J384" s="50">
        <v>0</v>
      </c>
      <c r="K384" s="50">
        <v>0</v>
      </c>
      <c r="L384" s="50">
        <v>0</v>
      </c>
      <c r="M384" s="50">
        <v>0</v>
      </c>
      <c r="N384" s="50">
        <v>0.21207999999999999</v>
      </c>
      <c r="O384" s="50">
        <v>0</v>
      </c>
      <c r="P384" s="50">
        <v>0</v>
      </c>
      <c r="Q384" s="50">
        <v>0.21208399999999999</v>
      </c>
      <c r="R384" s="50">
        <v>0</v>
      </c>
      <c r="S384" s="50">
        <v>0</v>
      </c>
      <c r="T384" s="50">
        <v>0</v>
      </c>
      <c r="U384" s="50">
        <v>0</v>
      </c>
      <c r="V384" s="50">
        <v>0</v>
      </c>
      <c r="W384" s="50">
        <v>0</v>
      </c>
      <c r="X384" s="50">
        <v>0</v>
      </c>
      <c r="Y384" s="50">
        <v>0</v>
      </c>
      <c r="Z384" s="50">
        <v>0</v>
      </c>
      <c r="AA384" s="50">
        <v>0</v>
      </c>
    </row>
    <row r="385" spans="7:27" x14ac:dyDescent="0.25">
      <c r="G385" s="18">
        <v>8</v>
      </c>
      <c r="H385" s="50">
        <v>0</v>
      </c>
      <c r="I385" s="50">
        <v>0</v>
      </c>
      <c r="J385" s="50">
        <v>0</v>
      </c>
      <c r="K385" s="50">
        <v>0</v>
      </c>
      <c r="L385" s="50">
        <v>0.212118</v>
      </c>
      <c r="M385" s="50">
        <v>0</v>
      </c>
      <c r="N385" s="50">
        <v>0</v>
      </c>
      <c r="O385" s="50">
        <v>0.21207999999999999</v>
      </c>
      <c r="P385" s="50">
        <v>0.21207100000000001</v>
      </c>
      <c r="Q385" s="50">
        <v>0.21211099999999999</v>
      </c>
      <c r="R385" s="50">
        <v>0</v>
      </c>
      <c r="S385" s="50">
        <v>0</v>
      </c>
      <c r="T385" s="50">
        <v>0</v>
      </c>
      <c r="U385" s="50">
        <v>0</v>
      </c>
      <c r="V385" s="50">
        <v>0</v>
      </c>
      <c r="W385" s="50">
        <v>0</v>
      </c>
      <c r="X385" s="50">
        <v>0</v>
      </c>
      <c r="Y385" s="50">
        <v>0</v>
      </c>
      <c r="Z385" s="50">
        <v>0</v>
      </c>
      <c r="AA385" s="50">
        <v>0</v>
      </c>
    </row>
    <row r="386" spans="7:27" x14ac:dyDescent="0.25">
      <c r="G386" s="18">
        <v>9</v>
      </c>
      <c r="H386" s="50">
        <v>0</v>
      </c>
      <c r="I386" s="50">
        <v>0</v>
      </c>
      <c r="J386" s="50">
        <v>0</v>
      </c>
      <c r="K386" s="50">
        <v>0</v>
      </c>
      <c r="L386" s="50">
        <v>0</v>
      </c>
      <c r="M386" s="50">
        <v>0</v>
      </c>
      <c r="N386" s="50">
        <v>0</v>
      </c>
      <c r="O386" s="55">
        <v>0.21207100000000001</v>
      </c>
      <c r="P386" s="50">
        <v>0.21207999999999999</v>
      </c>
      <c r="Q386" s="50">
        <v>0</v>
      </c>
      <c r="R386" s="50">
        <v>0</v>
      </c>
      <c r="S386" s="50">
        <v>0.21210899999999999</v>
      </c>
      <c r="T386" s="50">
        <v>0</v>
      </c>
      <c r="U386" s="50">
        <v>0</v>
      </c>
      <c r="V386" s="50">
        <v>0.21207999999999999</v>
      </c>
      <c r="W386" s="50">
        <v>0.21207999999999999</v>
      </c>
      <c r="X386" s="50">
        <v>0</v>
      </c>
      <c r="Y386" s="50">
        <v>0</v>
      </c>
      <c r="Z386" s="50">
        <v>0</v>
      </c>
      <c r="AA386" s="50">
        <v>0</v>
      </c>
    </row>
    <row r="387" spans="7:27" x14ac:dyDescent="0.25">
      <c r="G387" s="18">
        <v>10</v>
      </c>
      <c r="H387" s="50">
        <v>0</v>
      </c>
      <c r="I387" s="50">
        <v>0</v>
      </c>
      <c r="J387" s="50">
        <v>0</v>
      </c>
      <c r="K387" s="50">
        <v>0</v>
      </c>
      <c r="L387" s="50">
        <v>0</v>
      </c>
      <c r="M387" s="50">
        <v>0</v>
      </c>
      <c r="N387" s="50">
        <v>0.21208399999999999</v>
      </c>
      <c r="O387" s="50">
        <v>0.21211099999999999</v>
      </c>
      <c r="P387" s="50">
        <v>0</v>
      </c>
      <c r="Q387" s="50">
        <v>0.21207999999999999</v>
      </c>
      <c r="R387" s="50">
        <v>0</v>
      </c>
      <c r="S387" s="50">
        <v>0</v>
      </c>
      <c r="T387" s="50">
        <v>0</v>
      </c>
      <c r="U387" s="50">
        <v>0</v>
      </c>
      <c r="V387" s="50">
        <v>0</v>
      </c>
      <c r="W387" s="50">
        <v>0</v>
      </c>
      <c r="X387" s="50">
        <v>0</v>
      </c>
      <c r="Y387" s="50">
        <v>0</v>
      </c>
      <c r="Z387" s="50">
        <v>0</v>
      </c>
      <c r="AA387" s="50">
        <v>0.21207699999999999</v>
      </c>
    </row>
    <row r="388" spans="7:27" x14ac:dyDescent="0.25">
      <c r="G388" s="18">
        <v>11</v>
      </c>
      <c r="H388" s="50">
        <v>0.21207999999999999</v>
      </c>
      <c r="I388" s="50">
        <v>0</v>
      </c>
      <c r="J388" s="50">
        <v>0</v>
      </c>
      <c r="K388" s="50">
        <v>0.21207999999999999</v>
      </c>
      <c r="L388" s="50">
        <v>0</v>
      </c>
      <c r="M388" s="50">
        <v>0</v>
      </c>
      <c r="N388" s="50">
        <v>0</v>
      </c>
      <c r="O388" s="50">
        <v>0</v>
      </c>
      <c r="P388" s="50">
        <v>0</v>
      </c>
      <c r="Q388" s="50">
        <v>0</v>
      </c>
      <c r="R388" s="50">
        <v>0.21207999999999999</v>
      </c>
      <c r="S388" s="50">
        <v>0.212092</v>
      </c>
      <c r="T388" s="50">
        <v>0.21210399999999999</v>
      </c>
      <c r="U388" s="50">
        <v>0</v>
      </c>
      <c r="V388" s="50">
        <v>0</v>
      </c>
      <c r="W388" s="50">
        <v>0</v>
      </c>
      <c r="X388" s="50">
        <v>0</v>
      </c>
      <c r="Y388" s="50">
        <v>0</v>
      </c>
      <c r="Z388" s="50">
        <v>0</v>
      </c>
      <c r="AA388" s="50">
        <v>0</v>
      </c>
    </row>
    <row r="389" spans="7:27" x14ac:dyDescent="0.25">
      <c r="G389" s="18">
        <v>12</v>
      </c>
      <c r="H389" s="50">
        <v>0.21209700000000001</v>
      </c>
      <c r="I389" s="50">
        <v>0</v>
      </c>
      <c r="J389" s="50">
        <v>0</v>
      </c>
      <c r="K389" s="50">
        <v>0</v>
      </c>
      <c r="L389" s="50">
        <v>0</v>
      </c>
      <c r="M389" s="50">
        <v>0</v>
      </c>
      <c r="N389" s="50">
        <v>0</v>
      </c>
      <c r="O389" s="50">
        <v>0</v>
      </c>
      <c r="P389" s="50">
        <v>0.21210999999999999</v>
      </c>
      <c r="Q389" s="50">
        <v>0</v>
      </c>
      <c r="R389" s="50">
        <v>0.212092</v>
      </c>
      <c r="S389" s="50">
        <v>0.21207999999999999</v>
      </c>
      <c r="T389" s="50">
        <v>0</v>
      </c>
      <c r="U389" s="50">
        <v>0</v>
      </c>
      <c r="V389" s="50">
        <v>0</v>
      </c>
      <c r="W389" s="50">
        <v>0.21210599999999999</v>
      </c>
      <c r="X389" s="50">
        <v>0</v>
      </c>
      <c r="Y389" s="50">
        <v>0</v>
      </c>
      <c r="Z389" s="50">
        <v>0.21210300000000001</v>
      </c>
      <c r="AA389" s="50">
        <v>0</v>
      </c>
    </row>
    <row r="390" spans="7:27" x14ac:dyDescent="0.25">
      <c r="G390" s="18">
        <v>13</v>
      </c>
      <c r="H390" s="50">
        <v>0</v>
      </c>
      <c r="I390" s="50">
        <v>0.21215200000000001</v>
      </c>
      <c r="J390" s="50">
        <v>0</v>
      </c>
      <c r="K390" s="50">
        <v>0</v>
      </c>
      <c r="L390" s="50">
        <v>0</v>
      </c>
      <c r="M390" s="50">
        <v>0</v>
      </c>
      <c r="N390" s="50">
        <v>0</v>
      </c>
      <c r="O390" s="50">
        <v>0</v>
      </c>
      <c r="P390" s="50">
        <v>0</v>
      </c>
      <c r="Q390" s="50">
        <v>0</v>
      </c>
      <c r="R390" s="50">
        <v>0.21210399999999999</v>
      </c>
      <c r="S390" s="50">
        <v>0</v>
      </c>
      <c r="T390" s="50">
        <v>0.21207999999999999</v>
      </c>
      <c r="U390" s="50">
        <v>0</v>
      </c>
      <c r="V390" s="50">
        <v>0</v>
      </c>
      <c r="W390" s="50">
        <v>0.21210599999999999</v>
      </c>
      <c r="X390" s="50">
        <v>0.212091</v>
      </c>
      <c r="Y390" s="50">
        <v>0</v>
      </c>
      <c r="Z390" s="50">
        <v>0</v>
      </c>
      <c r="AA390" s="50">
        <v>0</v>
      </c>
    </row>
    <row r="391" spans="7:27" x14ac:dyDescent="0.25">
      <c r="G391" s="18">
        <v>14</v>
      </c>
      <c r="H391" s="50">
        <v>0</v>
      </c>
      <c r="I391" s="50">
        <v>0</v>
      </c>
      <c r="J391" s="50">
        <v>0.212091</v>
      </c>
      <c r="K391" s="50">
        <v>0</v>
      </c>
      <c r="L391" s="50">
        <v>0.212091</v>
      </c>
      <c r="M391" s="50">
        <v>0</v>
      </c>
      <c r="N391" s="50">
        <v>0</v>
      </c>
      <c r="O391" s="50">
        <v>0</v>
      </c>
      <c r="P391" s="50">
        <v>0</v>
      </c>
      <c r="Q391" s="50">
        <v>0</v>
      </c>
      <c r="R391" s="50">
        <v>0</v>
      </c>
      <c r="S391" s="50">
        <v>0</v>
      </c>
      <c r="T391" s="50">
        <v>0</v>
      </c>
      <c r="U391" s="50">
        <v>0.21207999999999999</v>
      </c>
      <c r="V391" s="50">
        <v>0</v>
      </c>
      <c r="W391" s="50">
        <v>0.212087</v>
      </c>
      <c r="X391" s="50">
        <v>0</v>
      </c>
      <c r="Y391" s="50">
        <v>0</v>
      </c>
      <c r="Z391" s="50">
        <v>0</v>
      </c>
      <c r="AA391" s="50">
        <v>0</v>
      </c>
    </row>
    <row r="392" spans="7:27" x14ac:dyDescent="0.25">
      <c r="G392" s="18">
        <v>15</v>
      </c>
      <c r="H392" s="50">
        <v>0</v>
      </c>
      <c r="I392" s="50">
        <v>0</v>
      </c>
      <c r="J392" s="50">
        <v>0</v>
      </c>
      <c r="K392" s="50">
        <v>0</v>
      </c>
      <c r="L392" s="50">
        <v>0.212085</v>
      </c>
      <c r="M392" s="50">
        <v>0</v>
      </c>
      <c r="N392" s="50">
        <v>0</v>
      </c>
      <c r="O392" s="50">
        <v>0</v>
      </c>
      <c r="P392" s="50">
        <v>0.21207999999999999</v>
      </c>
      <c r="Q392" s="50">
        <v>0</v>
      </c>
      <c r="R392" s="50">
        <v>0</v>
      </c>
      <c r="S392" s="50">
        <v>0</v>
      </c>
      <c r="T392" s="50">
        <v>0</v>
      </c>
      <c r="U392" s="50">
        <v>0</v>
      </c>
      <c r="V392" s="50">
        <v>0.21207999999999999</v>
      </c>
      <c r="W392" s="50">
        <v>0</v>
      </c>
      <c r="X392" s="50">
        <v>0</v>
      </c>
      <c r="Y392" s="50">
        <v>0</v>
      </c>
      <c r="Z392" s="50">
        <v>0</v>
      </c>
      <c r="AA392" s="50">
        <v>0</v>
      </c>
    </row>
    <row r="393" spans="7:27" x14ac:dyDescent="0.25">
      <c r="G393" s="18">
        <v>16</v>
      </c>
      <c r="H393" s="50">
        <v>0</v>
      </c>
      <c r="I393" s="50">
        <v>0</v>
      </c>
      <c r="J393" s="50">
        <v>0</v>
      </c>
      <c r="K393" s="50">
        <v>0</v>
      </c>
      <c r="L393" s="50">
        <v>0.21209</v>
      </c>
      <c r="M393" s="50">
        <v>0</v>
      </c>
      <c r="N393" s="50">
        <v>0</v>
      </c>
      <c r="O393" s="50">
        <v>0</v>
      </c>
      <c r="P393" s="50">
        <v>0.21207999999999999</v>
      </c>
      <c r="Q393" s="50">
        <v>0</v>
      </c>
      <c r="R393" s="50">
        <v>0</v>
      </c>
      <c r="S393" s="50">
        <v>0.21210599999999999</v>
      </c>
      <c r="T393" s="50">
        <v>0.21210599999999999</v>
      </c>
      <c r="U393" s="50">
        <v>0.212087</v>
      </c>
      <c r="V393" s="50">
        <v>0</v>
      </c>
      <c r="W393" s="50">
        <v>0.21207999999999999</v>
      </c>
      <c r="X393" s="50">
        <v>0</v>
      </c>
      <c r="Y393" s="50">
        <v>0</v>
      </c>
      <c r="Z393" s="50">
        <v>0</v>
      </c>
      <c r="AA393" s="50">
        <v>0</v>
      </c>
    </row>
    <row r="394" spans="7:27" x14ac:dyDescent="0.25">
      <c r="G394" s="18">
        <v>17</v>
      </c>
      <c r="H394" s="50">
        <v>0</v>
      </c>
      <c r="I394" s="50">
        <v>0</v>
      </c>
      <c r="J394" s="50">
        <v>0</v>
      </c>
      <c r="K394" s="50">
        <v>0</v>
      </c>
      <c r="L394" s="50">
        <v>0</v>
      </c>
      <c r="M394" s="50">
        <v>0</v>
      </c>
      <c r="N394" s="50">
        <v>0</v>
      </c>
      <c r="O394" s="50">
        <v>0</v>
      </c>
      <c r="P394" s="50">
        <v>0</v>
      </c>
      <c r="Q394" s="50">
        <v>0</v>
      </c>
      <c r="R394" s="50">
        <v>0</v>
      </c>
      <c r="S394" s="50">
        <v>0</v>
      </c>
      <c r="T394" s="50">
        <v>0.212091</v>
      </c>
      <c r="U394" s="50">
        <v>0</v>
      </c>
      <c r="V394" s="50">
        <v>0</v>
      </c>
      <c r="W394" s="50">
        <v>0</v>
      </c>
      <c r="X394" s="50">
        <v>0.21207999999999999</v>
      </c>
      <c r="Y394" s="50">
        <v>0</v>
      </c>
      <c r="Z394" s="50">
        <v>0</v>
      </c>
      <c r="AA394" s="50">
        <v>0.21210699999999999</v>
      </c>
    </row>
    <row r="395" spans="7:27" x14ac:dyDescent="0.25">
      <c r="G395" s="18">
        <v>18</v>
      </c>
      <c r="H395" s="50">
        <v>0.21210899999999999</v>
      </c>
      <c r="I395" s="50">
        <v>0.212114</v>
      </c>
      <c r="J395" s="50">
        <v>0</v>
      </c>
      <c r="K395" s="50">
        <v>0</v>
      </c>
      <c r="L395" s="50">
        <v>0</v>
      </c>
      <c r="M395" s="50">
        <v>0.212119</v>
      </c>
      <c r="N395" s="50">
        <v>0</v>
      </c>
      <c r="O395" s="50">
        <v>0</v>
      </c>
      <c r="P395" s="50">
        <v>0</v>
      </c>
      <c r="Q395" s="50">
        <v>0</v>
      </c>
      <c r="R395" s="50">
        <v>0</v>
      </c>
      <c r="S395" s="50">
        <v>0</v>
      </c>
      <c r="T395" s="50">
        <v>0</v>
      </c>
      <c r="U395" s="50">
        <v>0</v>
      </c>
      <c r="V395" s="50">
        <v>0</v>
      </c>
      <c r="W395" s="50">
        <v>0</v>
      </c>
      <c r="X395" s="50">
        <v>0</v>
      </c>
      <c r="Y395" s="50">
        <v>0.21207999999999999</v>
      </c>
      <c r="Z395" s="50">
        <v>0.21212500000000001</v>
      </c>
      <c r="AA395" s="50">
        <v>0</v>
      </c>
    </row>
    <row r="396" spans="7:27" x14ac:dyDescent="0.25">
      <c r="G396" s="18">
        <v>19</v>
      </c>
      <c r="H396" s="50">
        <v>0</v>
      </c>
      <c r="I396" s="50">
        <v>0</v>
      </c>
      <c r="J396" s="50">
        <v>0</v>
      </c>
      <c r="K396" s="50">
        <v>0.21207500000000001</v>
      </c>
      <c r="L396" s="50">
        <v>0</v>
      </c>
      <c r="M396" s="50">
        <v>0</v>
      </c>
      <c r="N396" s="50">
        <v>0</v>
      </c>
      <c r="O396" s="50">
        <v>0</v>
      </c>
      <c r="P396" s="50">
        <v>0</v>
      </c>
      <c r="Q396" s="50">
        <v>0</v>
      </c>
      <c r="R396" s="50">
        <v>0</v>
      </c>
      <c r="S396" s="50">
        <v>0.21210300000000001</v>
      </c>
      <c r="T396" s="50">
        <v>0</v>
      </c>
      <c r="U396" s="50">
        <v>0</v>
      </c>
      <c r="V396" s="50">
        <v>0</v>
      </c>
      <c r="W396" s="50">
        <v>0</v>
      </c>
      <c r="X396" s="50">
        <v>0</v>
      </c>
      <c r="Y396" s="50">
        <v>0.21212500000000001</v>
      </c>
      <c r="Z396" s="50">
        <v>0.21207999999999999</v>
      </c>
      <c r="AA396" s="50">
        <v>0</v>
      </c>
    </row>
    <row r="397" spans="7:27" ht="15.75" thickBot="1" x14ac:dyDescent="0.3">
      <c r="G397" s="19">
        <v>20</v>
      </c>
      <c r="H397" s="50">
        <v>0</v>
      </c>
      <c r="I397" s="50">
        <v>0.21213299999999999</v>
      </c>
      <c r="J397" s="50">
        <v>0</v>
      </c>
      <c r="K397" s="50">
        <v>0</v>
      </c>
      <c r="L397" s="50">
        <v>0</v>
      </c>
      <c r="M397" s="50">
        <v>0</v>
      </c>
      <c r="N397" s="50">
        <v>0</v>
      </c>
      <c r="O397" s="50">
        <v>0</v>
      </c>
      <c r="P397" s="50">
        <v>0</v>
      </c>
      <c r="Q397" s="50">
        <v>0.21207699999999999</v>
      </c>
      <c r="R397" s="50">
        <v>0</v>
      </c>
      <c r="S397" s="50">
        <v>0</v>
      </c>
      <c r="T397" s="50">
        <v>0</v>
      </c>
      <c r="U397" s="50">
        <v>0</v>
      </c>
      <c r="V397" s="50">
        <v>0</v>
      </c>
      <c r="W397" s="50">
        <v>0</v>
      </c>
      <c r="X397" s="50">
        <v>0.21210699999999999</v>
      </c>
      <c r="Y397" s="50">
        <v>0</v>
      </c>
      <c r="Z397" s="50">
        <v>0</v>
      </c>
      <c r="AA397" s="50">
        <v>0.21207999999999999</v>
      </c>
    </row>
    <row r="398" spans="7:27" x14ac:dyDescent="0.25">
      <c r="H398" t="s">
        <v>61</v>
      </c>
    </row>
    <row r="399" spans="7:27" x14ac:dyDescent="0.25">
      <c r="H399" t="s">
        <v>63</v>
      </c>
      <c r="J399" t="s">
        <v>64</v>
      </c>
    </row>
    <row r="400" spans="7:27" x14ac:dyDescent="0.25">
      <c r="H400" t="s">
        <v>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9525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param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User</cp:lastModifiedBy>
  <dcterms:created xsi:type="dcterms:W3CDTF">2017-09-26T07:27:19Z</dcterms:created>
  <dcterms:modified xsi:type="dcterms:W3CDTF">2021-12-06T19:08:59Z</dcterms:modified>
</cp:coreProperties>
</file>